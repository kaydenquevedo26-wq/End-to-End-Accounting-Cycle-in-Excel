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1"/>
  <mc:AlternateContent xmlns:mc="http://schemas.openxmlformats.org/markup-compatibility/2006">
    <mc:Choice Requires="x15">
      <x15ac:absPath xmlns:x15ac="http://schemas.microsoft.com/office/spreadsheetml/2010/11/ac" url="C:\Users\kayde\Downloads\"/>
    </mc:Choice>
  </mc:AlternateContent>
  <xr:revisionPtr revIDLastSave="0" documentId="8_{DC18E038-E008-46CF-B03B-7E77D3AD6FE0}" xr6:coauthVersionLast="47" xr6:coauthVersionMax="47" xr10:uidLastSave="{00000000-0000-0000-0000-000000000000}"/>
  <workbookProtection workbookAlgorithmName="SHA-512" workbookHashValue="yTH71RktQ+rlz9CiQD54sWjpV6aMHliDFl2lzZRD7dqB7OYw1U/VExdOHttRi9Vxlz+EZ6yl10N8ZYg8PsFpdw==" workbookSaltValue="hbJZkWlo3RiSZktLjww9pA==" workbookSpinCount="100000" lockStructure="1"/>
  <bookViews>
    <workbookView xWindow="-108" yWindow="-108" windowWidth="23256" windowHeight="12456" tabRatio="500" xr2:uid="{00000000-000D-0000-FFFF-FFFF00000000}"/>
    <workbookView xWindow="-108" yWindow="-108" windowWidth="23256" windowHeight="12456" firstSheet="1" activeTab="6" xr2:uid="{31B2A460-7901-4560-B0D5-0D7B9FFCC52B}"/>
  </bookViews>
  <sheets>
    <sheet name="ReadMe" sheetId="12" r:id="rId1"/>
    <sheet name="Overview" sheetId="1" r:id="rId2"/>
    <sheet name="Messy_Data" sheetId="2" r:id="rId3"/>
    <sheet name="Sales" sheetId="10" state="hidden" r:id="rId4"/>
    <sheet name="Expenses" sheetId="11" state="hidden" r:id="rId5"/>
    <sheet name="PowerQuery_Cleaned1" sheetId="5" r:id="rId6"/>
    <sheet name="Transaction_Log" sheetId="6" r:id="rId7"/>
    <sheet name="TAccounts" sheetId="7" r:id="rId8"/>
    <sheet name="Trial_Balance" sheetId="8" r:id="rId9"/>
    <sheet name="Financial_Statements" sheetId="9" r:id="rId10"/>
  </sheets>
  <definedNames>
    <definedName name="ExternalData_1" localSheetId="4" hidden="1">Expenses!$A$1:$E$33</definedName>
    <definedName name="ExternalData_1" localSheetId="5" hidden="1">PowerQuery_Cleaned1!$A$3:$E$88</definedName>
    <definedName name="ExternalData_1" localSheetId="3" hidden="1">Sales!$A$1:$E$88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7" i="7" l="1"/>
  <c r="F12" i="7"/>
  <c r="F13" i="7"/>
  <c r="F14" i="7"/>
  <c r="F15" i="7"/>
  <c r="F16" i="7"/>
  <c r="F18" i="7"/>
  <c r="F19" i="7"/>
  <c r="F20" i="7"/>
  <c r="F22" i="7"/>
  <c r="F23" i="7"/>
  <c r="F24" i="7"/>
  <c r="F25" i="7"/>
  <c r="F26" i="7"/>
  <c r="B21" i="7"/>
  <c r="F21" i="7" s="1"/>
  <c r="F8" i="7"/>
  <c r="H26" i="9"/>
  <c r="I27" i="8"/>
  <c r="H27" i="8"/>
  <c r="G14" i="8"/>
  <c r="G13" i="8"/>
  <c r="G12" i="8"/>
  <c r="G11" i="8"/>
  <c r="G10" i="8"/>
  <c r="G9" i="8"/>
  <c r="G8" i="8"/>
  <c r="G7" i="8"/>
  <c r="G6" i="8"/>
  <c r="G5" i="8"/>
  <c r="B26" i="7"/>
  <c r="B25" i="7"/>
  <c r="B24" i="7"/>
  <c r="B23" i="7"/>
  <c r="B22" i="7"/>
  <c r="B20" i="7"/>
  <c r="B19" i="7"/>
  <c r="B18" i="7"/>
  <c r="B17" i="7"/>
  <c r="B16" i="7"/>
  <c r="B15" i="7"/>
  <c r="B14" i="7"/>
  <c r="B13" i="7"/>
  <c r="B12" i="7"/>
  <c r="B11" i="7"/>
  <c r="B10" i="7"/>
  <c r="B9" i="7"/>
  <c r="B8" i="7"/>
  <c r="B7" i="7"/>
  <c r="B6" i="7"/>
  <c r="B5" i="7"/>
  <c r="G19" i="1"/>
  <c r="F19" i="1"/>
  <c r="C26" i="7" l="1"/>
  <c r="D26" i="7"/>
  <c r="G26" i="7"/>
  <c r="C25" i="7"/>
  <c r="D25" i="7"/>
  <c r="G25" i="7"/>
  <c r="C24" i="7"/>
  <c r="D24" i="7"/>
  <c r="G24" i="7"/>
  <c r="D23" i="7"/>
  <c r="G23" i="7"/>
  <c r="C23" i="7"/>
  <c r="D22" i="7"/>
  <c r="G22" i="7"/>
  <c r="C22" i="7"/>
  <c r="G21" i="7"/>
  <c r="D21" i="7"/>
  <c r="C21" i="7"/>
  <c r="D20" i="7"/>
  <c r="C20" i="7"/>
  <c r="G20" i="7"/>
  <c r="G19" i="7"/>
  <c r="C19" i="7"/>
  <c r="D19" i="7"/>
  <c r="G18" i="7"/>
  <c r="C18" i="7"/>
  <c r="D18" i="7"/>
  <c r="C17" i="7"/>
  <c r="I17" i="7" s="1"/>
  <c r="D17" i="7"/>
  <c r="G17" i="7"/>
  <c r="D16" i="7"/>
  <c r="C16" i="7"/>
  <c r="G16" i="7"/>
  <c r="D15" i="7"/>
  <c r="C15" i="7"/>
  <c r="G15" i="7"/>
  <c r="G14" i="7"/>
  <c r="C14" i="7"/>
  <c r="D14" i="7"/>
  <c r="C13" i="7"/>
  <c r="D13" i="7"/>
  <c r="G13" i="7"/>
  <c r="D12" i="7"/>
  <c r="C12" i="7"/>
  <c r="G12" i="7"/>
  <c r="F11" i="7"/>
  <c r="G11" i="7"/>
  <c r="D11" i="7"/>
  <c r="C11" i="7"/>
  <c r="C10" i="7"/>
  <c r="D10" i="7"/>
  <c r="F10" i="7"/>
  <c r="G10" i="7"/>
  <c r="F9" i="7"/>
  <c r="D9" i="7"/>
  <c r="C9" i="7"/>
  <c r="G9" i="7"/>
  <c r="G8" i="7"/>
  <c r="D8" i="7"/>
  <c r="C8" i="7"/>
  <c r="G7" i="7"/>
  <c r="F7" i="7"/>
  <c r="D7" i="7"/>
  <c r="C7" i="7"/>
  <c r="G6" i="7"/>
  <c r="F6" i="7"/>
  <c r="D6" i="7"/>
  <c r="C6" i="7"/>
  <c r="G5" i="7"/>
  <c r="F5" i="7"/>
  <c r="F27" i="7" s="1"/>
  <c r="D5" i="7"/>
  <c r="C5" i="7"/>
  <c r="D27" i="7" l="1"/>
  <c r="G27" i="7"/>
  <c r="I26" i="7"/>
  <c r="C26" i="8" s="1"/>
  <c r="J26" i="7"/>
  <c r="D26" i="8" s="1"/>
  <c r="I25" i="7"/>
  <c r="C25" i="8" s="1"/>
  <c r="J25" i="7"/>
  <c r="D25" i="8" s="1"/>
  <c r="I24" i="7"/>
  <c r="C24" i="8" s="1"/>
  <c r="J24" i="7"/>
  <c r="D24" i="8" s="1"/>
  <c r="I23" i="7"/>
  <c r="C23" i="8" s="1"/>
  <c r="J23" i="7"/>
  <c r="D23" i="8" s="1"/>
  <c r="I22" i="7"/>
  <c r="C22" i="8" s="1"/>
  <c r="J22" i="7"/>
  <c r="D22" i="8" s="1"/>
  <c r="I21" i="7"/>
  <c r="C21" i="8" s="1"/>
  <c r="J21" i="7"/>
  <c r="D21" i="8" s="1"/>
  <c r="I20" i="7"/>
  <c r="C20" i="8" s="1"/>
  <c r="J20" i="7"/>
  <c r="D20" i="8" s="1"/>
  <c r="I19" i="7"/>
  <c r="C19" i="8" s="1"/>
  <c r="J19" i="7"/>
  <c r="D19" i="8" s="1"/>
  <c r="I18" i="7"/>
  <c r="C18" i="8" s="1"/>
  <c r="J18" i="7"/>
  <c r="D18" i="8" s="1"/>
  <c r="C17" i="8"/>
  <c r="J17" i="7"/>
  <c r="D17" i="8" s="1"/>
  <c r="I16" i="7"/>
  <c r="C16" i="8" s="1"/>
  <c r="J16" i="7"/>
  <c r="D16" i="8" s="1"/>
  <c r="I15" i="7"/>
  <c r="C15" i="8" s="1"/>
  <c r="J15" i="7"/>
  <c r="D15" i="8" s="1"/>
  <c r="I14" i="7"/>
  <c r="C14" i="8" s="1"/>
  <c r="J14" i="7"/>
  <c r="D14" i="8" s="1"/>
  <c r="I13" i="7"/>
  <c r="C13" i="8" s="1"/>
  <c r="J13" i="7"/>
  <c r="D13" i="8" s="1"/>
  <c r="I12" i="7"/>
  <c r="C12" i="8" s="1"/>
  <c r="J12" i="7"/>
  <c r="D12" i="8" s="1"/>
  <c r="I11" i="7"/>
  <c r="C11" i="8" s="1"/>
  <c r="J11" i="7"/>
  <c r="D11" i="8" s="1"/>
  <c r="I10" i="7"/>
  <c r="C10" i="8" s="1"/>
  <c r="J10" i="7"/>
  <c r="D10" i="8" s="1"/>
  <c r="I9" i="7"/>
  <c r="C9" i="8" s="1"/>
  <c r="J9" i="7"/>
  <c r="D9" i="8" s="1"/>
  <c r="I8" i="7"/>
  <c r="C8" i="8" s="1"/>
  <c r="J8" i="7"/>
  <c r="D8" i="8" s="1"/>
  <c r="I7" i="7"/>
  <c r="C7" i="8" s="1"/>
  <c r="J7" i="7"/>
  <c r="D7" i="8" s="1"/>
  <c r="I6" i="7"/>
  <c r="C6" i="8" s="1"/>
  <c r="J6" i="7"/>
  <c r="D6" i="8" s="1"/>
  <c r="I5" i="7"/>
  <c r="J5" i="7"/>
  <c r="C27" i="7"/>
  <c r="M16" i="8" l="1"/>
  <c r="H22" i="9" s="1"/>
  <c r="M9" i="8"/>
  <c r="E9" i="9" s="1"/>
  <c r="M18" i="8"/>
  <c r="B6" i="9" s="1"/>
  <c r="N18" i="8"/>
  <c r="M22" i="8"/>
  <c r="B10" i="9" s="1"/>
  <c r="M26" i="8"/>
  <c r="B14" i="9" s="1"/>
  <c r="N26" i="8"/>
  <c r="M25" i="8"/>
  <c r="B13" i="9" s="1"/>
  <c r="N25" i="8"/>
  <c r="M17" i="8"/>
  <c r="N17" i="8"/>
  <c r="B4" i="9" s="1"/>
  <c r="N16" i="8"/>
  <c r="N22" i="8"/>
  <c r="N21" i="8"/>
  <c r="M21" i="8"/>
  <c r="B9" i="9" s="1"/>
  <c r="N20" i="8"/>
  <c r="M20" i="8"/>
  <c r="B8" i="9" s="1"/>
  <c r="M24" i="8"/>
  <c r="B12" i="9" s="1"/>
  <c r="N24" i="8"/>
  <c r="M23" i="8"/>
  <c r="N23" i="8"/>
  <c r="N19" i="8"/>
  <c r="M19" i="8"/>
  <c r="B7" i="9" s="1"/>
  <c r="N14" i="8"/>
  <c r="H21" i="9" s="1"/>
  <c r="M14" i="8"/>
  <c r="M15" i="8"/>
  <c r="N15" i="8"/>
  <c r="M13" i="8"/>
  <c r="N13" i="8"/>
  <c r="M12" i="8"/>
  <c r="N12" i="8"/>
  <c r="M11" i="8"/>
  <c r="N11" i="8"/>
  <c r="M10" i="8"/>
  <c r="N10" i="8"/>
  <c r="E10" i="9" s="1"/>
  <c r="N9" i="8"/>
  <c r="M8" i="8"/>
  <c r="N8" i="8"/>
  <c r="M7" i="8"/>
  <c r="E7" i="9" s="1"/>
  <c r="N7" i="8"/>
  <c r="M6" i="8"/>
  <c r="N6" i="8"/>
  <c r="I27" i="7"/>
  <c r="C5" i="8"/>
  <c r="J27" i="7"/>
  <c r="D5" i="8"/>
  <c r="D27" i="8" s="1"/>
  <c r="H23" i="9" l="1"/>
  <c r="B11" i="9"/>
  <c r="H6" i="9"/>
  <c r="B15" i="9"/>
  <c r="E17" i="9"/>
  <c r="H13" i="9"/>
  <c r="E16" i="9"/>
  <c r="H12" i="9"/>
  <c r="E15" i="9"/>
  <c r="H11" i="9"/>
  <c r="E14" i="9"/>
  <c r="H17" i="9"/>
  <c r="H18" i="9" s="1"/>
  <c r="E8" i="9"/>
  <c r="H10" i="9"/>
  <c r="H9" i="9"/>
  <c r="E6" i="9"/>
  <c r="H8" i="9"/>
  <c r="M5" i="8"/>
  <c r="N5" i="8"/>
  <c r="N27" i="8" s="1"/>
  <c r="C27" i="8"/>
  <c r="E18" i="9" l="1"/>
  <c r="E21" i="9"/>
  <c r="H5" i="9"/>
  <c r="H14" i="9" s="1"/>
  <c r="H25" i="9" s="1"/>
  <c r="H27" i="9" s="1"/>
  <c r="M27" i="8"/>
  <c r="E5" i="9"/>
  <c r="E11" i="9" s="1"/>
  <c r="E2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5" authorId="0" shapeId="0" xr:uid="{00000000-0006-0000-0700-000001000000}">
      <text>
        <r>
          <rPr>
            <sz val="10"/>
            <rFont val="Arial"/>
            <family val="2"/>
          </rPr>
          <t>Prepaid Insurance: $2,400 12-month policy = $200/month. Two months (Jan, Feb) were already expensed before March 1 (see Overview note), leaving $2,000 unexpired. One more month expires in March -&gt; Dr Insurance Expense $200 and Cr Prepaid Insurance $200.</t>
        </r>
      </text>
    </comment>
    <comment ref="F7" authorId="0" shapeId="0" xr:uid="{00000000-0006-0000-0700-000002000000}">
      <text>
        <r>
          <rPr>
            <sz val="10"/>
            <rFont val="Arial"/>
            <family val="2"/>
          </rPr>
          <t>Equipment: $12,000, 5-yr straight-line, no salvage = $2400/yr depreciation -&gt; $200/month. Two months already recorded before March 1. One more month in March -&gt; Dr Depreciation Expense $200 / Cr Accumulated Depreciation $200.</t>
        </r>
      </text>
    </comment>
    <comment ref="F9" authorId="0" shapeId="0" xr:uid="{00000000-0006-0000-0700-000003000000}">
      <text>
        <r>
          <rPr>
            <sz val="10"/>
            <rFont val="Arial"/>
            <family val="2"/>
          </rPr>
          <t>The $1,200 customer deposit (Unearned Revenue) was for a custom gear order fully completed and delivered April 2nd -&gt; not earned for the month of March. Dr Unearned Revenue $1,200 / Cr Sales Revenue $1,200.</t>
        </r>
      </text>
    </comment>
    <comment ref="F11" authorId="0" shapeId="0" xr:uid="{00000000-0006-0000-0700-000004000000}">
      <text>
        <r>
          <rPr>
            <sz val="10"/>
            <rFont val="Arial"/>
            <family val="2"/>
          </rPr>
          <t>Supplies used = Beginning balance $1,100.00 + March purchases $2,332.05 (per Transaction_Log) - March 31 physical count $625.00 = $2,807.05. Dr Supplies Expense / Cr Supplies for that amount.</t>
        </r>
      </text>
    </comment>
    <comment ref="F13" authorId="0" shapeId="0" xr:uid="{00000000-0006-0000-0700-000005000000}">
      <text>
        <r>
          <rPr>
            <sz val="10"/>
            <rFont val="Arial"/>
            <family val="2"/>
          </rPr>
          <t>Employees earned $1,450 of wages for March 28-31 that won't be paid until the next payroll run in April -&gt; accrue it. Dr Wages Expense $1,450 / Cr Wages Payable $1,450.</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C95EAC2-17E3-49D6-AA09-C6972CB0B7BD}" keepAlive="1" name="Query - Expenses" description="Connection to the 'Expenses' query in the workbook." type="5" refreshedVersion="8" background="1" saveData="1">
    <dbPr connection="Provider=Microsoft.Mashup.OleDb.1;Data Source=$Workbook$;Location=Expenses;Extended Properties=&quot;&quot;" command="SELECT * FROM [Expenses]"/>
  </connection>
  <connection id="2" xr16:uid="{487178A2-8C5D-4D3A-BFA7-9EB44508F68E}" keepAlive="1" name="Query - Sales" description="Connection to the 'Sales' query in the workbook." type="5" refreshedVersion="8" background="1" saveData="1">
    <dbPr connection="Provider=Microsoft.Mashup.OleDb.1;Data Source=$Workbook$;Location=Sales;Extended Properties=&quot;&quot;" command="SELECT * FROM [Sales]"/>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<sst xmlns="http://schemas.openxmlformats.org/spreadsheetml/2006/main" count="2097" uniqueCount="477">
  <si>
    <t>Ridgeline Outdoor Co. — Financial Statement Project</t>
  </si>
  <si>
    <t>Company Background</t>
  </si>
  <si>
    <t>Ridgeline Outdoor Co. is a sole proprietorship operating a single retail store that sells camping, hiking,</t>
  </si>
  <si>
    <t>and outdoor gear. It is not a real company; all figures below were built for this exercise.</t>
  </si>
  <si>
    <t>Chart of Accounts</t>
  </si>
  <si>
    <t>Beginning Trial Balance — March 1, 2026</t>
  </si>
  <si>
    <t>Account Name</t>
  </si>
  <si>
    <t>Type</t>
  </si>
  <si>
    <t>Normal Balance</t>
  </si>
  <si>
    <t>Account</t>
  </si>
  <si>
    <t>Debit</t>
  </si>
  <si>
    <t>Credit</t>
  </si>
  <si>
    <t>Cash</t>
  </si>
  <si>
    <t>Asset</t>
  </si>
  <si>
    <t>Accounts Receivable</t>
  </si>
  <si>
    <t>Supplies</t>
  </si>
  <si>
    <t>Prepaid Insurance</t>
  </si>
  <si>
    <t>Equipment</t>
  </si>
  <si>
    <t>Accumulated Depreciation—Equipment</t>
  </si>
  <si>
    <t>Contra-Asset</t>
  </si>
  <si>
    <t>Accounts Payable</t>
  </si>
  <si>
    <t>Liability</t>
  </si>
  <si>
    <t>Unearned Revenue</t>
  </si>
  <si>
    <t>Wages Payable</t>
  </si>
  <si>
    <t>Notes Payable</t>
  </si>
  <si>
    <t>Owner's Capital</t>
  </si>
  <si>
    <t>Equity</t>
  </si>
  <si>
    <t>Total</t>
  </si>
  <si>
    <t>Owner's Drawing</t>
  </si>
  <si>
    <t>Sales Revenue</t>
  </si>
  <si>
    <t>Revenue</t>
  </si>
  <si>
    <t>Rent Expense</t>
  </si>
  <si>
    <t>Expense</t>
  </si>
  <si>
    <t>Utilities Expense</t>
  </si>
  <si>
    <t>Wages Expense</t>
  </si>
  <si>
    <t>Supplies Expense</t>
  </si>
  <si>
    <t>Insurance Expense</t>
  </si>
  <si>
    <t>Depreciation Expense</t>
  </si>
  <si>
    <t>Advertising Expense</t>
  </si>
  <si>
    <t>Repairs &amp; Maintenance Expense</t>
  </si>
  <si>
    <t>Interest Expense</t>
  </si>
  <si>
    <t>Notes on the Beginning Balances</t>
  </si>
  <si>
    <t>• Prepaid Insurance — a 12-month policy purchased Jan 1, 2026 for $2,400 ($200/month). Two months (Jan, Feb) were already expensed, leaving $2,000 unexpired as of March 1.</t>
  </si>
  <si>
    <t>• Equipment — purchased Jan 1, 2026 for $12,000. 5-year useful life, straight-line, no salvage value ($200/month depreciation). Two months of depreciation ($400) were already recorded by March 1.</t>
  </si>
  <si>
    <t>• Unearned Revenue ($1,200) — a customer deposit received in February for a custom gear order.</t>
  </si>
  <si>
    <t>Sales Log - March 2026</t>
  </si>
  <si>
    <t>Date</t>
  </si>
  <si>
    <t>Txn Type</t>
  </si>
  <si>
    <t>Customer</t>
  </si>
  <si>
    <t>Item(s)</t>
  </si>
  <si>
    <t>Amount</t>
  </si>
  <si>
    <t>18-Mar-2026</t>
  </si>
  <si>
    <t>On Account</t>
  </si>
  <si>
    <t>Karen Lu</t>
  </si>
  <si>
    <t>Camp Stoves</t>
  </si>
  <si>
    <t>$655.80</t>
  </si>
  <si>
    <t>3/10/2026</t>
  </si>
  <si>
    <t xml:space="preserve">Cash sale </t>
  </si>
  <si>
    <t>J. Alvarez</t>
  </si>
  <si>
    <t>Water Filters</t>
  </si>
  <si>
    <t>$404.81</t>
  </si>
  <si>
    <t>31-Mar-2026</t>
  </si>
  <si>
    <t>cash sale</t>
  </si>
  <si>
    <t>TRAILBLAZERS CLUB</t>
  </si>
  <si>
    <t>Backpacks</t>
  </si>
  <si>
    <t>244.47</t>
  </si>
  <si>
    <t>30-Mar-2026</t>
  </si>
  <si>
    <t>Northwood School</t>
  </si>
  <si>
    <t>Tents</t>
  </si>
  <si>
    <t>$573.14</t>
  </si>
  <si>
    <t>March 24, 2026</t>
  </si>
  <si>
    <t>sale on account</t>
  </si>
  <si>
    <t>Pine Ridge Scouts</t>
  </si>
  <si>
    <t>677.51</t>
  </si>
  <si>
    <t>10-Mar-2026</t>
  </si>
  <si>
    <t>CASH SALE</t>
  </si>
  <si>
    <t>Dan Whitfield</t>
  </si>
  <si>
    <t>Sleeping Bags</t>
  </si>
  <si>
    <t>276.26</t>
  </si>
  <si>
    <t>3/5/2026</t>
  </si>
  <si>
    <t>Cash Customer</t>
  </si>
  <si>
    <t>Rain Jackets</t>
  </si>
  <si>
    <t>311.80</t>
  </si>
  <si>
    <t>3/23/2026</t>
  </si>
  <si>
    <t>trailblazers club</t>
  </si>
  <si>
    <t xml:space="preserve"> $395.66 </t>
  </si>
  <si>
    <t>3/30/2026</t>
  </si>
  <si>
    <t>payment rcvd on acct</t>
  </si>
  <si>
    <t>Account Payment</t>
  </si>
  <si>
    <t xml:space="preserve"> $520.61 </t>
  </si>
  <si>
    <t>3/13/2026 - Cash Sale</t>
  </si>
  <si>
    <t>NORTHWOOD SCHOOL</t>
  </si>
  <si>
    <t>Coolers</t>
  </si>
  <si>
    <t>16-Mar-2026</t>
  </si>
  <si>
    <t>Sale on Account</t>
  </si>
  <si>
    <t>Summit Youth Camp</t>
  </si>
  <si>
    <t xml:space="preserve"> $170.81 </t>
  </si>
  <si>
    <t>3/22/2026</t>
  </si>
  <si>
    <t>Payment Received on Account</t>
  </si>
  <si>
    <t>T. Nguyen</t>
  </si>
  <si>
    <t>423.58</t>
  </si>
  <si>
    <t>March 3, 2026</t>
  </si>
  <si>
    <t xml:space="preserve"> Sale on Acct</t>
  </si>
  <si>
    <t>Maria Torres</t>
  </si>
  <si>
    <t>918.44</t>
  </si>
  <si>
    <t>3/18/2026</t>
  </si>
  <si>
    <t>summit youth camp</t>
  </si>
  <si>
    <t>306.36</t>
  </si>
  <si>
    <t>3/11/2026</t>
  </si>
  <si>
    <t>Cash Sale</t>
  </si>
  <si>
    <t>trailblazers  club</t>
  </si>
  <si>
    <t>216.03</t>
  </si>
  <si>
    <t>March 18, 2026</t>
  </si>
  <si>
    <t>$329.75</t>
  </si>
  <si>
    <t>14-Mar-2026</t>
  </si>
  <si>
    <t xml:space="preserve">guest </t>
  </si>
  <si>
    <t>$198.11</t>
  </si>
  <si>
    <t>March 8, 2026</t>
  </si>
  <si>
    <t>Trekking Poles</t>
  </si>
  <si>
    <t>4-Mar-2026</t>
  </si>
  <si>
    <t>Rain   Jackets</t>
  </si>
  <si>
    <t>$698.13</t>
  </si>
  <si>
    <t>March 7, 2026</t>
  </si>
  <si>
    <t>$328.25</t>
  </si>
  <si>
    <t>592.88</t>
  </si>
  <si>
    <t>5-Mar-2026</t>
  </si>
  <si>
    <t>t. nguyen</t>
  </si>
  <si>
    <t>$358.05</t>
  </si>
  <si>
    <t>March 30, 2026</t>
  </si>
  <si>
    <t>Pmt Received - Acct</t>
  </si>
  <si>
    <t>N/A - Account Payment</t>
  </si>
  <si>
    <t xml:space="preserve"> $106.99 </t>
  </si>
  <si>
    <t>March 9, 2026</t>
  </si>
  <si>
    <t>Trailblazers Club</t>
  </si>
  <si>
    <t>Hiking Boots</t>
  </si>
  <si>
    <t>3-Mar-2026</t>
  </si>
  <si>
    <t>$743.50</t>
  </si>
  <si>
    <t>March 13, 2026</t>
  </si>
  <si>
    <t>R. Patterson</t>
  </si>
  <si>
    <t>3/15/2026</t>
  </si>
  <si>
    <t>$934.47</t>
  </si>
  <si>
    <t>30-Mar-2026 - Cash Sale</t>
  </si>
  <si>
    <t>pine ridge scouts</t>
  </si>
  <si>
    <t>381.83</t>
  </si>
  <si>
    <t>3/8/2026</t>
  </si>
  <si>
    <t>$511.54</t>
  </si>
  <si>
    <t>2-Mar-2026</t>
  </si>
  <si>
    <t>$419.24</t>
  </si>
  <si>
    <t>Guest</t>
  </si>
  <si>
    <t>$75.79</t>
  </si>
  <si>
    <t>WALK IN</t>
  </si>
  <si>
    <t>3/19/2026</t>
  </si>
  <si>
    <t>N/A</t>
  </si>
  <si>
    <t>$317.21</t>
  </si>
  <si>
    <t>3/26/2026</t>
  </si>
  <si>
    <t>$350.40</t>
  </si>
  <si>
    <t>7-Mar-2026</t>
  </si>
  <si>
    <t>Trailblazers Club.</t>
  </si>
  <si>
    <t>Headlamps</t>
  </si>
  <si>
    <t>465.30</t>
  </si>
  <si>
    <t>March 10, 2026</t>
  </si>
  <si>
    <t>March 6, 2026</t>
  </si>
  <si>
    <t>$272.45</t>
  </si>
  <si>
    <t>$346.32</t>
  </si>
  <si>
    <t>KAREN LU</t>
  </si>
  <si>
    <t>3/20/2026</t>
  </si>
  <si>
    <t xml:space="preserve"> $373.13 </t>
  </si>
  <si>
    <t>6-Mar-2026</t>
  </si>
  <si>
    <t xml:space="preserve"> $435.89 </t>
  </si>
  <si>
    <t>29-Mar-2026</t>
  </si>
  <si>
    <t>dan whitfield</t>
  </si>
  <si>
    <t xml:space="preserve"> $398.34 </t>
  </si>
  <si>
    <t>March 14, 2026</t>
  </si>
  <si>
    <t xml:space="preserve"> $145.52 </t>
  </si>
  <si>
    <t>JaCKsoNville JagS</t>
  </si>
  <si>
    <t>$111.51</t>
  </si>
  <si>
    <t xml:space="preserve"> $306.89 </t>
  </si>
  <si>
    <t>26-Mar-2026</t>
  </si>
  <si>
    <t>587.81</t>
  </si>
  <si>
    <t>MARIA TORRES</t>
  </si>
  <si>
    <t>256.72</t>
  </si>
  <si>
    <t>240.83</t>
  </si>
  <si>
    <t>28-Mar-2026</t>
  </si>
  <si>
    <t>100.09</t>
  </si>
  <si>
    <t>March 12, 2026</t>
  </si>
  <si>
    <t>$597.76</t>
  </si>
  <si>
    <t>11-Mar-2026</t>
  </si>
  <si>
    <t>$289.98</t>
  </si>
  <si>
    <t xml:space="preserve">2-Mar-2026 - Cash sale </t>
  </si>
  <si>
    <t>March 22, 2026</t>
  </si>
  <si>
    <t xml:space="preserve"> $727.37 </t>
  </si>
  <si>
    <t>27-Mar-2026</t>
  </si>
  <si>
    <t>$254.39</t>
  </si>
  <si>
    <t>25-Mar-2026</t>
  </si>
  <si>
    <t>Tents,</t>
  </si>
  <si>
    <t>$157.83</t>
  </si>
  <si>
    <t>March 19, 2026</t>
  </si>
  <si>
    <t>Jon Jones</t>
  </si>
  <si>
    <t>$157.63</t>
  </si>
  <si>
    <t>13-Mar-2026</t>
  </si>
  <si>
    <t>3/13/2026</t>
  </si>
  <si>
    <t>3/2/2026</t>
  </si>
  <si>
    <t>karen lu</t>
  </si>
  <si>
    <t>hiking boots</t>
  </si>
  <si>
    <t xml:space="preserve"> $96.40 </t>
  </si>
  <si>
    <t>R. PATTERSON</t>
  </si>
  <si>
    <t>CAMP STOVES</t>
  </si>
  <si>
    <t xml:space="preserve"> $214.10 </t>
  </si>
  <si>
    <t>j. alvarez</t>
  </si>
  <si>
    <t>TENTS</t>
  </si>
  <si>
    <t xml:space="preserve"> $410.00 </t>
  </si>
  <si>
    <t>3/17/2026</t>
  </si>
  <si>
    <t xml:space="preserve"> T. Nguyen </t>
  </si>
  <si>
    <t>rain jackets</t>
  </si>
  <si>
    <t>88.75</t>
  </si>
  <si>
    <t>21-Mar-2026</t>
  </si>
  <si>
    <t xml:space="preserve">	Trailblazers Club</t>
  </si>
  <si>
    <t xml:space="preserve"> $63.20 </t>
  </si>
  <si>
    <t>March 23, 2026</t>
  </si>
  <si>
    <t>northwood school</t>
  </si>
  <si>
    <t>$275.00</t>
  </si>
  <si>
    <t>3/24/2026</t>
  </si>
  <si>
    <t>PINE RIDGE SCOUTS</t>
  </si>
  <si>
    <t>water filters</t>
  </si>
  <si>
    <t>198.50</t>
  </si>
  <si>
    <t xml:space="preserve">cash sale </t>
  </si>
  <si>
    <t>TREKKING POLES</t>
  </si>
  <si>
    <t>$142.30</t>
  </si>
  <si>
    <t>coolers</t>
  </si>
  <si>
    <t>$310.60</t>
  </si>
  <si>
    <t>March 31, 2026</t>
  </si>
  <si>
    <t xml:space="preserve"> $505.00 </t>
  </si>
  <si>
    <t>3/6/2026</t>
  </si>
  <si>
    <t>$342.10</t>
  </si>
  <si>
    <t>$478.25</t>
  </si>
  <si>
    <t>March 15, 2026</t>
  </si>
  <si>
    <t>$129.99</t>
  </si>
  <si>
    <t>266.40</t>
  </si>
  <si>
    <t>walk-in customer</t>
  </si>
  <si>
    <t>$54.80</t>
  </si>
  <si>
    <t xml:space="preserve"> $72.00 </t>
  </si>
  <si>
    <t>8-Mar-2026</t>
  </si>
  <si>
    <t>Camp_Stoves</t>
  </si>
  <si>
    <t xml:space="preserve"> $388.40 </t>
  </si>
  <si>
    <t>Liam</t>
  </si>
  <si>
    <t>29.99</t>
  </si>
  <si>
    <t>3/14/2026</t>
  </si>
  <si>
    <t>--</t>
  </si>
  <si>
    <t>SLEEPING BAGS</t>
  </si>
  <si>
    <t>199.25</t>
  </si>
  <si>
    <t>backpacks</t>
  </si>
  <si>
    <t>$322.10</t>
  </si>
  <si>
    <t>26-Mar-2026 - Cash Sale</t>
  </si>
  <si>
    <t>$340.00</t>
  </si>
  <si>
    <t>March 29, 2026</t>
  </si>
  <si>
    <t>GUEST</t>
  </si>
  <si>
    <t>$84.15</t>
  </si>
  <si>
    <t>34000</t>
  </si>
  <si>
    <t>21550</t>
  </si>
  <si>
    <t>EXPENSE LOG — MARCH 2026</t>
  </si>
  <si>
    <t>Payee</t>
  </si>
  <si>
    <t>Category</t>
  </si>
  <si>
    <t>Payment Method</t>
  </si>
  <si>
    <t>QuickFix Repair</t>
  </si>
  <si>
    <t>Card</t>
  </si>
  <si>
    <t>Repairs &amp; Maintenance</t>
  </si>
  <si>
    <t xml:space="preserve"> $120.00 </t>
  </si>
  <si>
    <t>22-Mar-2026</t>
  </si>
  <si>
    <t>Alpine Wholesale Supply</t>
  </si>
  <si>
    <t>Supplies!!</t>
  </si>
  <si>
    <t>$310.45</t>
  </si>
  <si>
    <t>3/7/2026</t>
  </si>
  <si>
    <t>$165.00</t>
  </si>
  <si>
    <t>Owner Draw</t>
  </si>
  <si>
    <t>Check</t>
  </si>
  <si>
    <t>1,000.00</t>
  </si>
  <si>
    <t>Social Media Ads Co</t>
  </si>
  <si>
    <t>Advertising</t>
  </si>
  <si>
    <t>26000</t>
  </si>
  <si>
    <t>$275.60</t>
  </si>
  <si>
    <t>TrailPack Distributors</t>
  </si>
  <si>
    <t>Payment on Account</t>
  </si>
  <si>
    <t xml:space="preserve"> $950.00 </t>
  </si>
  <si>
    <t>Valley Electric Co-op</t>
  </si>
  <si>
    <t>Utilities</t>
  </si>
  <si>
    <t>Payroll - Wages</t>
  </si>
  <si>
    <t>$3,180.00</t>
  </si>
  <si>
    <t>Ridgeline Local Weekly</t>
  </si>
  <si>
    <t>March 25, 2026</t>
  </si>
  <si>
    <t>365.75</t>
  </si>
  <si>
    <t>3/12/2026</t>
  </si>
  <si>
    <t>SUPPLIES</t>
  </si>
  <si>
    <t>275.00</t>
  </si>
  <si>
    <t>3/1/2026</t>
  </si>
  <si>
    <t>Cedar Point Properties</t>
  </si>
  <si>
    <t>Rent</t>
  </si>
  <si>
    <t>$2,200.00</t>
  </si>
  <si>
    <t>3/16/2026</t>
  </si>
  <si>
    <t>TrailPack  Distributors</t>
  </si>
  <si>
    <t>$190.00</t>
  </si>
  <si>
    <t>Payroll</t>
  </si>
  <si>
    <t>Wages</t>
  </si>
  <si>
    <t>$3,225.00</t>
  </si>
  <si>
    <t>valley electric co-op</t>
  </si>
  <si>
    <t xml:space="preserve">utilities </t>
  </si>
  <si>
    <t>$205.00</t>
  </si>
  <si>
    <t>20-Mar-2026</t>
  </si>
  <si>
    <t xml:space="preserve"> $350.00 </t>
  </si>
  <si>
    <t>Alpine Wholesale Supply - Payment on Account</t>
  </si>
  <si>
    <t>$1,200.00</t>
  </si>
  <si>
    <t>Ridgeline Bank</t>
  </si>
  <si>
    <t>Loan Payment</t>
  </si>
  <si>
    <t>550.00</t>
  </si>
  <si>
    <t>repairs&amp;maintenance</t>
  </si>
  <si>
    <t>$75.00</t>
  </si>
  <si>
    <t>loan payment</t>
  </si>
  <si>
    <t>3/4/2026</t>
  </si>
  <si>
    <t xml:space="preserve"> $340.20 </t>
  </si>
  <si>
    <t>cedar point properties</t>
  </si>
  <si>
    <t>RENT</t>
  </si>
  <si>
    <t>check</t>
  </si>
  <si>
    <t>214.50</t>
  </si>
  <si>
    <t>$90.00</t>
  </si>
  <si>
    <t>TrailPack Distributors - Supplies</t>
  </si>
  <si>
    <t>$410.00</t>
  </si>
  <si>
    <t>utilities</t>
  </si>
  <si>
    <t>$176.20</t>
  </si>
  <si>
    <t>17-Mar-2026</t>
  </si>
  <si>
    <t>social media ads co</t>
  </si>
  <si>
    <t>CARD</t>
  </si>
  <si>
    <t>$180.00</t>
  </si>
  <si>
    <t>3/29/2026</t>
  </si>
  <si>
    <t>$500.00</t>
  </si>
  <si>
    <t>3/27/2026</t>
  </si>
  <si>
    <t>TrailPack Distributors,</t>
  </si>
  <si>
    <t xml:space="preserve">Supplies </t>
  </si>
  <si>
    <t xml:space="preserve"> On Account</t>
  </si>
  <si>
    <t xml:space="preserve"> $228.90 </t>
  </si>
  <si>
    <t>Sales Log</t>
  </si>
  <si>
    <t>Entry #</t>
  </si>
  <si>
    <t>Walk-In Customer</t>
  </si>
  <si>
    <t>Cleaned Power Query Data</t>
  </si>
  <si>
    <t>Expenses Log</t>
  </si>
  <si>
    <t>Jacksonville Jags</t>
  </si>
  <si>
    <t>Transaction Log — General Journal</t>
  </si>
  <si>
    <t>3/3/2026</t>
  </si>
  <si>
    <t>3/9/2026</t>
  </si>
  <si>
    <t>3/21/2026</t>
  </si>
  <si>
    <t>3/25/2026</t>
  </si>
  <si>
    <t>3/28/2026</t>
  </si>
  <si>
    <t>3/31/2026</t>
  </si>
  <si>
    <t>B/F</t>
  </si>
  <si>
    <t xml:space="preserve">MARCH ACTIVITY </t>
  </si>
  <si>
    <t>C/F</t>
  </si>
  <si>
    <t>Trial Balance</t>
  </si>
  <si>
    <t>Unadjusted Trial Balance</t>
  </si>
  <si>
    <t>Adjusting Entries</t>
  </si>
  <si>
    <t>Adjusted Trial Balance</t>
  </si>
  <si>
    <t>Acct #</t>
  </si>
  <si>
    <t>AJE #</t>
  </si>
  <si>
    <t>Financial Statements — March 2026</t>
  </si>
  <si>
    <t>Income Statement</t>
  </si>
  <si>
    <t>Balance Sheet</t>
  </si>
  <si>
    <t>Statement of Cash Flows</t>
  </si>
  <si>
    <t>Assets</t>
  </si>
  <si>
    <t>Operating Activities</t>
  </si>
  <si>
    <t>Less: Operating Expenses</t>
  </si>
  <si>
    <t xml:space="preserve">    Cash</t>
  </si>
  <si>
    <t xml:space="preserve">    Net Income</t>
  </si>
  <si>
    <t xml:space="preserve">    Rent Expense</t>
  </si>
  <si>
    <t xml:space="preserve">    Accounts Receivable</t>
  </si>
  <si>
    <t xml:space="preserve">    Add: Depreciation Expense</t>
  </si>
  <si>
    <t xml:space="preserve">    Utilities Expense</t>
  </si>
  <si>
    <t xml:space="preserve">    Supplies</t>
  </si>
  <si>
    <t xml:space="preserve">    Changes in Working Capital:</t>
  </si>
  <si>
    <t xml:space="preserve">    Wages Expense</t>
  </si>
  <si>
    <t xml:space="preserve">    Prepaid Insurance</t>
  </si>
  <si>
    <t xml:space="preserve">        (Increase) / Decrease in Accounts Receivable</t>
  </si>
  <si>
    <t xml:space="preserve">    Supplies Expense</t>
  </si>
  <si>
    <t xml:space="preserve">    Equipment</t>
  </si>
  <si>
    <t xml:space="preserve">        (Increase) / Decrease in Supplies</t>
  </si>
  <si>
    <t xml:space="preserve">    Insurance Expense</t>
  </si>
  <si>
    <t xml:space="preserve">    Less: Accumulated Depreciation</t>
  </si>
  <si>
    <t xml:space="preserve">        (Increase) / Decrease in Prepaid Insurance</t>
  </si>
  <si>
    <t xml:space="preserve">    Depreciation Expense</t>
  </si>
  <si>
    <t xml:space="preserve">    Total Assets</t>
  </si>
  <si>
    <t xml:space="preserve">        Increase / (Decrease) in Accounts Payable</t>
  </si>
  <si>
    <t xml:space="preserve">    Advertising Expense</t>
  </si>
  <si>
    <t xml:space="preserve">        Increase / (Decrease) in Unearned Revenue</t>
  </si>
  <si>
    <t xml:space="preserve">    Repairs &amp; Maintenance Expense</t>
  </si>
  <si>
    <t>Liabilities</t>
  </si>
  <si>
    <t xml:space="preserve">        Increase / (Decrease) in Wages Payable</t>
  </si>
  <si>
    <t xml:space="preserve">    Interest Expense</t>
  </si>
  <si>
    <t xml:space="preserve">    Accounts Payable</t>
  </si>
  <si>
    <t xml:space="preserve">    Net Cash from Operating Activities</t>
  </si>
  <si>
    <t>Net Income</t>
  </si>
  <si>
    <t xml:space="preserve">    Unearned Revenue</t>
  </si>
  <si>
    <t xml:space="preserve">    Wages Payable</t>
  </si>
  <si>
    <t>Investing Activities</t>
  </si>
  <si>
    <t xml:space="preserve">    Notes Payable</t>
  </si>
  <si>
    <t xml:space="preserve">    Purchases of Equipment</t>
  </si>
  <si>
    <t xml:space="preserve">    Total Liabilities</t>
  </si>
  <si>
    <t xml:space="preserve">    Net Cash from Investing Activities</t>
  </si>
  <si>
    <t>Owner's Equity</t>
  </si>
  <si>
    <t>Financing Activities</t>
  </si>
  <si>
    <t xml:space="preserve">    Owner's Capital, March 31</t>
  </si>
  <si>
    <t xml:space="preserve">    Repayment of Notes Payable</t>
  </si>
  <si>
    <t xml:space="preserve">    Owner's Drawing</t>
  </si>
  <si>
    <t>Total Liabilities and Owner's Equity</t>
  </si>
  <si>
    <t xml:space="preserve">    Net Cash from Financing Activities</t>
  </si>
  <si>
    <t>Net Increase (Decrease) in Cash</t>
  </si>
  <si>
    <t>Cash, March 1</t>
  </si>
  <si>
    <t>Cash, March 31</t>
  </si>
  <si>
    <t>Sale On Account</t>
  </si>
  <si>
    <t>Payment Received On Account</t>
  </si>
  <si>
    <t>Trailblazers  Club</t>
  </si>
  <si>
    <t>Walk In</t>
  </si>
  <si>
    <t>Quickfix Repair</t>
  </si>
  <si>
    <t>120</t>
  </si>
  <si>
    <t>310.45</t>
  </si>
  <si>
    <t>165</t>
  </si>
  <si>
    <t>1000</t>
  </si>
  <si>
    <t>275.6</t>
  </si>
  <si>
    <t>Trailpack Distributors</t>
  </si>
  <si>
    <t>Payment On Account</t>
  </si>
  <si>
    <t>950</t>
  </si>
  <si>
    <t>Valley Electric Co-Op</t>
  </si>
  <si>
    <t>198.75</t>
  </si>
  <si>
    <t>3180</t>
  </si>
  <si>
    <t>260</t>
  </si>
  <si>
    <t>122.75</t>
  </si>
  <si>
    <t>275</t>
  </si>
  <si>
    <t>2200</t>
  </si>
  <si>
    <t>Trailpack  Distributors</t>
  </si>
  <si>
    <t>190</t>
  </si>
  <si>
    <t>3225</t>
  </si>
  <si>
    <t>205</t>
  </si>
  <si>
    <t>350</t>
  </si>
  <si>
    <t>1200</t>
  </si>
  <si>
    <t>550</t>
  </si>
  <si>
    <t>Repairs&amp;Maintenance</t>
  </si>
  <si>
    <t>75</t>
  </si>
  <si>
    <t>340.2</t>
  </si>
  <si>
    <t>214.5</t>
  </si>
  <si>
    <t>90</t>
  </si>
  <si>
    <t>410</t>
  </si>
  <si>
    <t>176.2</t>
  </si>
  <si>
    <t>180</t>
  </si>
  <si>
    <t>500</t>
  </si>
  <si>
    <t>Trailpack Distributors,</t>
  </si>
  <si>
    <t>88.4</t>
  </si>
  <si>
    <t>228.9</t>
  </si>
  <si>
    <t>Account T-Charts — Beginning Balance (B/F) + March Activity + C/F Balance</t>
  </si>
  <si>
    <t>Ridgeline Outdoor Co. Project ReadMe</t>
  </si>
  <si>
    <t>1. Background</t>
  </si>
  <si>
    <t>2. Overview</t>
  </si>
  <si>
    <t>The Overview tab holds the beginning balances as of March 1, which mirrors how real financial statements carry over the previous month's ending balances. It also includes notes explaining each of the month end adjusting entries.</t>
  </si>
  <si>
    <t>3. How I Used Power Query to Clean the Data</t>
  </si>
  <si>
    <t>4. Transaction Log: Formatting with a Macro</t>
  </si>
  <si>
    <t>5. T-Accounts</t>
  </si>
  <si>
    <t>6. Trial Balance</t>
  </si>
  <si>
    <t>The Trial Balance pulls every number from the T-Accounts tab using absolute cell references together with INDEX and MATCH, so there's no manual typing or copying involved. The adjusting entries are the ones described in the notes on the Overview tab, plus a couple I added based on real world accounting principles, like accruing wages that were earned but not yet paid and recognizing supplies used up based on a physical count.</t>
  </si>
  <si>
    <t>7. Financial Statements</t>
  </si>
  <si>
    <t>The Income Statement, Balance Sheet, and Statement of Cash Flows all pull their numbers from the Trial Balance using absolute references, so everything updates on its own and there's no chance of a manual entry mistake. I checked that Total Assets equals Total Liabilities plus Owner's Equity, and that the ending cash balance on the Statement of Cash Flows matches the cash balance on the Balance Sheet exactly, which confirms everything ties out correctly.</t>
  </si>
  <si>
    <t>This is an end-to-end financial statement project I built using simulated transaction data generated by Claude. 
I made it to show that I understand how to use: Excel, VBA editing, Macros, Power Query (data cleaning), index &amp; match, fomurals (IF, SUMIFS, etc.), and overall accounting knowledge.</t>
  </si>
  <si>
    <t>Step 1: I imported the Sales Log data &amp; the Expenses Log separately from the Messy_Data tab into power query. -&gt; Clicked Transform when power query popped up -&gt; saw preview of the messy data</t>
  </si>
  <si>
    <t>Step 2: highlighted all the columns using ctrl + click -&gt; Transform Tab + Text Colum -&gt; Format -&gt; ran Capitalize Each Word, Trim, and Clean on them to fix inconsistent capitalization, extra spaces, and hidden characters.</t>
  </si>
  <si>
    <t xml:space="preserve">Step 3: Split columns with combined data. For instance, the date column in power query should only have values like "3/12/2026" but the messy data included "3/12/2026 - Cash Sale" when Cash Sale is apart of a different column. </t>
  </si>
  <si>
    <t>Step 5: Make the dates have uniform formatting. Ex: some cells may have "March-18 2026" or "3/12/26". To adopt a uniform formatting we need to parse the date column.
Highlight Date Column -&gt; Transform -&gt; Date -&gt; Parse 
Step 6: Load &amp; Close Data back to workbook.</t>
  </si>
  <si>
    <t>To fix this -&gt;Higlight combined column -&gt; Home -&gt; Split Column -&gt; By Delimiter -&gt; Custom -&gt; " - " -&gt; this means that after the "3/12/2026" any text that is followed by " - " is separated into a new column. 
After separating columns -&gt; Add column -&gt; Merge -&gt; highlight new column created by the separation above &amp; the transaction type colum to fill in all the missing cells -.&gt; After completetion delete the two columns you just highlighted and leave the new merged column as the new transaction type column.</t>
  </si>
  <si>
    <t>Step 4: Replace values in the Transaction Type &amp; Customer Type to adopt a uniform spelling for words so SUMIFs formulas accurately add up values. Ex: In transaction types, there was "Payment On Account" &amp; "Pmt On Acct". Although they represent the same account type, the different spelling can cause issues for the SUMIFS formulas later on. 
To fix -&gt; Highlight Column -&gt; Home -&gt; Replace Values -&gt; Type in Value to Find &amp; Value to change it to.</t>
  </si>
  <si>
    <t>I wrote a macro called Transaction Formatting to keep every journal entry in the Transaction Log formatted the same way, Here's what it does:</t>
  </si>
  <si>
    <t>The B/F columns pull straight from the beginning trial balance table on the Overview tab. The March Activity columns use SUMIFS to add up every debit and credit posted to that account in the Transaction Log. The C/F columns just take the B/F balance and apply the changes that occured in the March Activity to it, so each account's ending balance updates on its own as the Transaction Log changes.</t>
  </si>
  <si>
    <t>Step 1: Dim ws As Worksheet -&gt; Holds a reference in the worksheet. The exact cell reference is determined by "Set ws = ThisWorkbook.sheets("Transaction_Log") -&gt; tells the macro that the set cell range below (A4:E5) is that cell range in the transaction_log tab. Ps.</t>
  </si>
  <si>
    <t>Step 2: Dim SourceRange As Range  -&gt; creates a variable that can hold a reference to a cell range. We use this variable in defining our cell range -&gt; "Set SourceRange = ws.Range("A4:E5")" -&gt; this sets the SourceRange variable to the cell range A4:E5 based on ws, which we know from earlier is the Transaction_Log tab. -&gt; Simple translation: Sets the sourcerange to A4:E5 cell range in the transaction log tab.</t>
  </si>
  <si>
    <t>Step 3: "Dim TargetRow As Long &amp; TargetRow = 6 " -&gt; Sets the target row for which the formatting is applied to. Ex: TargetRow = 6 means that the formatting will be applied to A6
Step 4: "For I = 1 to 115" this completes the macro 115 times for 115 other transactions. Each time it copys the formatting for original A4:E5 transaction log cell range -&gt; copies it using "SourceRange.copy" -&gt; the paste code is just highlighting the formatting from the original A4:E5 cell range. -&gt; Lastly, the target row increases by 2 rows each time the macro is completed ("Target Row = Target Row + 2) &amp; the macro repeats due to the "Next i" that continues the loop until the loop has been done 115.</t>
  </si>
  <si>
    <t>Ridgeline Outdoor Co. Raw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</si>
</sst>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
    <numFmt numFmtId="165" formatCode="\$0,000.00"/>
    <numFmt numFmtId="166" formatCode="\$#,##0.00_);[Red]&quot;($&quot;#,##0.00\)"/>
    <numFmt numFmtId="167" formatCode="_(\$* #,##0.00_);_(\$* \(#,##0.00\);_(\$* \-??_);_(@_)"/>
    <numFmt numFmtId="168" formatCode="m/dd/yyyy"/>
    <numFmt numFmtId="169" formatCode="\$#,##0.00"/>
    <numFmt numFmtId="170" formatCode="\$0000.00"/>
  </numFmts>
  <fonts count="16" x14ac:knownFonts="1">
    <font>
      <sz val="11"/>
      <color theme="1"/>
      <name val="Calibri"/>
      <family val="2"/>
      <charset val="1"/>
    </font>
    <font>
      <sz val="10"/>
      <name val="Arial"/>
      <family val="2"/>
    </font>
    <font>
      <b/>
      <sz val="16"/>
      <color rgb="FF1B5E20"/>
      <name val="Arial"/>
      <family val="2"/>
      <charset val="1"/>
    </font>
    <font>
      <b/>
      <sz val="12"/>
      <color rgb="FF1B5E20"/>
      <name val="Arial"/>
      <family val="2"/>
      <charset val="1"/>
    </font>
    <font>
      <sz val="10"/>
      <name val="Arial"/>
      <family val="2"/>
      <charset val="1"/>
    </font>
    <font>
      <b/>
      <sz val="10"/>
      <name val="Arial"/>
      <family val="2"/>
      <charset val="1"/>
    </font>
    <font>
      <sz val="11"/>
      <name val="Arial"/>
      <family val="2"/>
      <charset val="1"/>
    </font>
    <font>
      <sz val="17"/>
      <color theme="3" tint="-0.499984740745262"/>
      <name val="Calibri"/>
      <family val="2"/>
      <charset val="1"/>
    </font>
    <font>
      <sz val="12"/>
      <color theme="1"/>
      <name val="Calibri"/>
      <family val="2"/>
      <charset val="1"/>
    </font>
    <font>
      <i/>
      <sz val="9"/>
      <color rgb="FF666666"/>
      <name val="Arial"/>
      <family val="2"/>
      <charset val="1"/>
    </font>
    <font>
      <b/>
      <sz val="9"/>
      <color rgb="FF003300"/>
      <name val="Arial"/>
      <family val="2"/>
      <charset val="1"/>
    </font>
    <font>
      <b/>
      <sz val="9"/>
      <name val="Arial"/>
      <family val="2"/>
      <charset val="1"/>
    </font>
    <font>
      <i/>
      <sz val="9"/>
      <color rgb="FF595959"/>
      <name val="Arial"/>
      <family val="2"/>
      <charset val="1"/>
    </font>
    <font>
      <i/>
      <sz val="9"/>
      <name val="Arial"/>
      <family val="2"/>
      <charset val="1"/>
    </font>
    <font>
      <b/>
      <sz val="16"/>
      <color theme="1"/>
      <name val="Arial"/>
      <family val="2"/>
      <charset val="1"/>
    </font>
    <font>
      <b/>
      <sz val="12"/>
      <color theme="1"/>
      <name val="Arial"/>
      <family val="2"/>
      <charset val="1"/>
    </font>
  </fonts>
  <fills count="5">
    <fill>
      <patternFill patternType="none"/>
    </fill>
    <fill>
      <patternFill patternType="gray125"/>
    </fill>
    <fill>
      <patternFill patternType="solid">
        <fgColor rgb="FF66BB6A"/>
        <bgColor rgb="FF969696"/>
      </patternFill>
    </fill>
    <fill>
      <patternFill patternType="solid">
        <fgColor theme="0"/>
        <bgColor rgb="FFF2F2F2"/>
      </patternFill>
    </fill>
    <fill>
      <patternFill patternType="solid">
        <fgColor theme="9" tint="0.79998168889431442"/>
        <bgColor theme="9" tint="0.79998168889431442"/>
      </patternFill>
    </fill>
  </fills>
  <borders count="19">
    <border>
      <left/>
      <right/>
      <top/>
      <bottom/>
      <diagonal/>
    </border>
    <border>
      <left/>
      <right style="thin">
        <color auto="1"/>
      </right>
      <top/>
      <bottom/>
      <diagonal/>
    </border>
    <border>
      <left style="thin">
        <color rgb="FF1B5E20"/>
      </left>
      <right style="thin">
        <color rgb="FF1B5E20"/>
      </right>
      <top style="thin">
        <color rgb="FF1B5E20"/>
      </top>
      <bottom style="thin">
        <color rgb="FF1B5E20"/>
      </bottom>
      <diagonal/>
    </border>
    <border>
      <left style="thin">
        <color auto="1"/>
      </left>
      <right style="thin">
        <color auto="1"/>
      </right>
      <top/>
      <bottom/>
      <diagonal/>
    </border>
    <border>
      <left/>
      <right style="thin">
        <color auto="1"/>
      </right>
      <top/>
      <bottom style="thin">
        <color rgb="FFBFBFBF"/>
      </bottom>
      <diagonal/>
    </border>
    <border>
      <left style="thin">
        <color auto="1"/>
      </left>
      <right style="thin">
        <color auto="1"/>
      </right>
      <top/>
      <bottom style="thin">
        <color rgb="FFBFBFBF"/>
      </bottom>
      <diagonal/>
    </border>
    <border>
      <left/>
      <right/>
      <top/>
      <bottom style="thin">
        <color rgb="FFBFBFBF"/>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rgb="FF1B5E20"/>
      </right>
      <top style="thin">
        <color rgb="FF1B5E20"/>
      </top>
      <bottom style="thin">
        <color rgb="FF1B5E20"/>
      </bottom>
      <diagonal/>
    </border>
    <border>
      <left style="thin">
        <color rgb="FF1B5E20"/>
      </left>
      <right style="thin">
        <color rgb="FF1B5E20"/>
      </right>
      <top/>
      <bottom style="thin">
        <color rgb="FF1B5E20"/>
      </bottom>
      <diagonal/>
    </border>
    <border>
      <left style="thin">
        <color rgb="FF1B5E20"/>
      </left>
      <right style="thin">
        <color rgb="FF1B5E20"/>
      </right>
      <top style="thin">
        <color rgb="FF1B5E20"/>
      </top>
      <bottom/>
      <diagonal/>
    </border>
    <border>
      <left style="hair">
        <color rgb="FFB7B7B7"/>
      </left>
      <right style="hair">
        <color rgb="FFB7B7B7"/>
      </right>
      <top/>
      <bottom style="hair">
        <color rgb="FFB7B7B7"/>
      </bottom>
      <diagonal/>
    </border>
    <border>
      <left/>
      <right/>
      <top/>
      <bottom style="double">
        <color auto="1"/>
      </bottom>
      <diagonal/>
    </border>
    <border>
      <left/>
      <right/>
      <top style="thin">
        <color auto="1"/>
      </top>
      <bottom/>
      <diagonal/>
    </border>
    <border>
      <left/>
      <right/>
      <top style="thin">
        <color theme="9" tint="0.39997558519241921"/>
      </top>
      <bottom style="thin">
        <color theme="9" tint="0.39997558519241921"/>
      </bottom>
      <diagonal/>
    </border>
    <border>
      <left/>
      <right/>
      <top/>
      <bottom style="thin">
        <color indexed="64"/>
      </bottom>
      <diagonal/>
    </border>
    <border>
      <left/>
      <right style="thin">
        <color indexed="64"/>
      </right>
      <top/>
      <bottom style="thin">
        <color auto="1"/>
      </bottom>
      <diagonal/>
    </border>
  </borders>
  <cellStyleXfs count="1">
    <xf numFmtId="0" fontId="0" fillId="0" borderId="0"/>
  </cellStyleXfs>
  <cellXfs count="81">
    <xf numFmtId="0" fontId="0" fillId="0" borderId="0" xfId="0"/>
    <xf numFmtId="0" fontId="3" fillId="0" borderId="0" xfId="0" applyFont="1"/>
    <xf numFmtId="0" fontId="4" fillId="0" borderId="0" xfId="0" applyFont="1"/>
    <xf numFmtId="0" fontId="5" fillId="2" borderId="1" xfId="0" applyFont="1" applyFill="1" applyBorder="1"/>
    <xf numFmtId="0" fontId="4" fillId="3" borderId="2" xfId="0" applyFont="1" applyFill="1" applyBorder="1"/>
    <xf numFmtId="164" fontId="4" fillId="3" borderId="2" xfId="0" applyNumberFormat="1" applyFont="1" applyFill="1" applyBorder="1"/>
    <xf numFmtId="165" fontId="5" fillId="2" borderId="1" xfId="0" applyNumberFormat="1" applyFont="1" applyFill="1" applyBorder="1"/>
    <xf numFmtId="14" fontId="0" fillId="0" borderId="0" xfId="0" applyNumberFormat="1"/>
    <xf numFmtId="0" fontId="0" fillId="4" borderId="16" xfId="0" applyFill="1" applyBorder="1"/>
    <xf numFmtId="0" fontId="0" fillId="0" borderId="16" xfId="0" applyBorder="1"/>
    <xf numFmtId="0" fontId="14" fillId="0" borderId="0" xfId="0" applyFont="1"/>
    <xf numFmtId="0" fontId="15" fillId="0" borderId="0" xfId="0" applyFont="1"/>
    <xf numFmtId="0" fontId="14" fillId="0" borderId="0" xfId="0" applyFont="1" applyProtection="1">
      <protection hidden="1"/>
    </xf>
    <xf numFmtId="0" fontId="0" fillId="0" borderId="0" xfId="0" applyProtection="1">
      <protection hidden="1"/>
    </xf>
    <xf numFmtId="0" fontId="12" fillId="0" borderId="0" xfId="0" applyFont="1" applyProtection="1">
      <protection hidden="1"/>
    </xf>
    <xf numFmtId="0" fontId="15" fillId="0" borderId="0" xfId="0" applyFont="1" applyProtection="1">
      <protection hidden="1"/>
    </xf>
    <xf numFmtId="0" fontId="5" fillId="2" borderId="0" xfId="0" applyFont="1" applyFill="1" applyProtection="1">
      <protection hidden="1"/>
    </xf>
    <xf numFmtId="0" fontId="4" fillId="3" borderId="7" xfId="0" applyFont="1" applyFill="1" applyBorder="1" applyProtection="1">
      <protection hidden="1"/>
    </xf>
    <xf numFmtId="164" fontId="4" fillId="3" borderId="7" xfId="0" applyNumberFormat="1" applyFont="1" applyFill="1" applyBorder="1" applyProtection="1">
      <protection hidden="1"/>
    </xf>
    <xf numFmtId="164" fontId="4" fillId="3" borderId="10" xfId="0" applyNumberFormat="1" applyFont="1" applyFill="1" applyBorder="1" applyProtection="1">
      <protection hidden="1"/>
    </xf>
    <xf numFmtId="164" fontId="4" fillId="3" borderId="2" xfId="0" applyNumberFormat="1" applyFont="1" applyFill="1" applyBorder="1" applyProtection="1">
      <protection hidden="1"/>
    </xf>
    <xf numFmtId="0" fontId="4" fillId="3" borderId="2" xfId="0" applyFont="1" applyFill="1" applyBorder="1" applyProtection="1">
      <protection hidden="1"/>
    </xf>
    <xf numFmtId="0" fontId="4" fillId="3" borderId="11" xfId="0" applyFont="1" applyFill="1" applyBorder="1" applyProtection="1">
      <protection hidden="1"/>
    </xf>
    <xf numFmtId="164" fontId="4" fillId="3" borderId="11" xfId="0" applyNumberFormat="1" applyFont="1" applyFill="1" applyBorder="1" applyProtection="1">
      <protection hidden="1"/>
    </xf>
    <xf numFmtId="0" fontId="4" fillId="3" borderId="12" xfId="0" applyFont="1" applyFill="1" applyBorder="1" applyProtection="1">
      <protection hidden="1"/>
    </xf>
    <xf numFmtId="164" fontId="4" fillId="3" borderId="12" xfId="0" applyNumberFormat="1" applyFont="1" applyFill="1" applyBorder="1" applyProtection="1">
      <protection hidden="1"/>
    </xf>
    <xf numFmtId="0" fontId="5" fillId="2" borderId="7" xfId="0" applyFont="1" applyFill="1" applyBorder="1" applyProtection="1">
      <protection hidden="1"/>
    </xf>
    <xf numFmtId="170" fontId="5" fillId="2" borderId="7" xfId="0" applyNumberFormat="1" applyFont="1" applyFill="1" applyBorder="1" applyProtection="1">
      <protection hidden="1"/>
    </xf>
    <xf numFmtId="0" fontId="13" fillId="0" borderId="0" xfId="0" applyFont="1" applyProtection="1">
      <protection hidden="1"/>
    </xf>
    <xf numFmtId="169" fontId="4" fillId="3" borderId="7" xfId="0" applyNumberFormat="1" applyFont="1" applyFill="1" applyBorder="1" applyAlignment="1" applyProtection="1">
      <alignment horizontal="right"/>
      <protection hidden="1"/>
    </xf>
    <xf numFmtId="0" fontId="5" fillId="0" borderId="7" xfId="0" applyFont="1" applyBorder="1" applyProtection="1">
      <protection hidden="1"/>
    </xf>
    <xf numFmtId="0" fontId="0" fillId="0" borderId="7" xfId="0" applyBorder="1" applyProtection="1">
      <protection hidden="1"/>
    </xf>
    <xf numFmtId="0" fontId="0" fillId="3" borderId="7" xfId="0" applyFill="1" applyBorder="1" applyProtection="1">
      <protection hidden="1"/>
    </xf>
    <xf numFmtId="170" fontId="5" fillId="2" borderId="0" xfId="0" applyNumberFormat="1" applyFont="1" applyFill="1" applyAlignment="1" applyProtection="1">
      <alignment horizontal="right"/>
      <protection hidden="1"/>
    </xf>
    <xf numFmtId="170" fontId="5" fillId="2" borderId="0" xfId="0" applyNumberFormat="1" applyFont="1" applyFill="1" applyProtection="1">
      <protection hidden="1"/>
    </xf>
    <xf numFmtId="0" fontId="5" fillId="2" borderId="13" xfId="0" applyFont="1" applyFill="1" applyBorder="1" applyProtection="1">
      <protection hidden="1"/>
    </xf>
    <xf numFmtId="169" fontId="5" fillId="2" borderId="13" xfId="0" applyNumberFormat="1" applyFont="1" applyFill="1" applyBorder="1" applyAlignment="1" applyProtection="1">
      <alignment horizontal="right"/>
      <protection hidden="1"/>
    </xf>
    <xf numFmtId="169" fontId="5" fillId="2" borderId="0" xfId="0" applyNumberFormat="1" applyFont="1" applyFill="1" applyProtection="1">
      <protection hidden="1"/>
    </xf>
    <xf numFmtId="169" fontId="5" fillId="2" borderId="14" xfId="0" applyNumberFormat="1" applyFont="1" applyFill="1" applyBorder="1" applyAlignment="1" applyProtection="1">
      <alignment horizontal="right"/>
      <protection hidden="1"/>
    </xf>
    <xf numFmtId="169" fontId="5" fillId="2" borderId="15" xfId="0" applyNumberFormat="1" applyFont="1" applyFill="1" applyBorder="1" applyAlignment="1" applyProtection="1">
      <alignment horizontal="right"/>
      <protection hidden="1"/>
    </xf>
    <xf numFmtId="0" fontId="4" fillId="0" borderId="0" xfId="0" applyFont="1" applyProtection="1">
      <protection hidden="1"/>
    </xf>
    <xf numFmtId="0" fontId="10" fillId="3" borderId="7" xfId="0" applyFont="1" applyFill="1" applyBorder="1" applyAlignment="1" applyProtection="1">
      <alignment horizontal="center"/>
      <protection hidden="1"/>
    </xf>
    <xf numFmtId="0" fontId="11" fillId="3" borderId="7" xfId="0" applyFont="1" applyFill="1" applyBorder="1" applyAlignment="1" applyProtection="1">
      <alignment horizontal="center"/>
      <protection hidden="1"/>
    </xf>
    <xf numFmtId="0" fontId="4" fillId="0" borderId="7" xfId="0" applyFont="1" applyBorder="1" applyProtection="1">
      <protection hidden="1"/>
    </xf>
    <xf numFmtId="169" fontId="4" fillId="0" borderId="7"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9" fontId="5" fillId="0" borderId="8" xfId="0" applyNumberFormat="1" applyFont="1" applyBorder="1" applyAlignment="1" applyProtection="1">
      <alignment horizontal="right"/>
      <protection hidden="1"/>
    </xf>
    <xf numFmtId="169" fontId="5" fillId="0" borderId="9" xfId="0" applyNumberFormat="1" applyFont="1" applyBorder="1" applyAlignment="1" applyProtection="1">
      <alignment horizontal="right"/>
      <protection hidden="1"/>
    </xf>
    <xf numFmtId="0" fontId="9" fillId="0" borderId="0" xfId="0" applyFont="1" applyAlignment="1" applyProtection="1">
      <alignment horizontal="right"/>
      <protection hidden="1"/>
    </xf>
    <xf numFmtId="0" fontId="9" fillId="0" borderId="0" xfId="0" applyFont="1" applyProtection="1">
      <protection hidden="1"/>
    </xf>
    <xf numFmtId="0" fontId="5" fillId="2" borderId="1" xfId="0" applyFont="1" applyFill="1" applyBorder="1" applyProtection="1">
      <protection hidden="1"/>
    </xf>
    <xf numFmtId="0" fontId="5" fillId="2" borderId="3" xfId="0" applyFont="1" applyFill="1" applyBorder="1" applyProtection="1">
      <protection hidden="1"/>
    </xf>
    <xf numFmtId="0" fontId="4" fillId="3" borderId="1" xfId="0" applyFont="1" applyFill="1" applyBorder="1" applyProtection="1">
      <protection hidden="1"/>
    </xf>
    <xf numFmtId="0" fontId="4" fillId="3" borderId="3" xfId="0" applyFont="1" applyFill="1" applyBorder="1" applyProtection="1">
      <protection hidden="1"/>
    </xf>
    <xf numFmtId="169" fontId="4" fillId="3" borderId="3" xfId="0" applyNumberFormat="1" applyFont="1" applyFill="1" applyBorder="1" applyProtection="1">
      <protection hidden="1"/>
    </xf>
    <xf numFmtId="0" fontId="4" fillId="3" borderId="4" xfId="0" applyFont="1" applyFill="1" applyBorder="1" applyProtection="1">
      <protection hidden="1"/>
    </xf>
    <xf numFmtId="0" fontId="4" fillId="3" borderId="5" xfId="0" applyFont="1" applyFill="1" applyBorder="1" applyProtection="1">
      <protection hidden="1"/>
    </xf>
    <xf numFmtId="169" fontId="4" fillId="3" borderId="4" xfId="0" applyNumberFormat="1" applyFont="1" applyFill="1" applyBorder="1" applyProtection="1">
      <protection hidden="1"/>
    </xf>
    <xf numFmtId="0" fontId="4" fillId="3" borderId="6" xfId="0" applyFont="1" applyFill="1" applyBorder="1" applyProtection="1">
      <protection hidden="1"/>
    </xf>
    <xf numFmtId="0" fontId="7" fillId="0" borderId="0" xfId="0" applyFont="1" applyProtection="1">
      <protection hidden="1"/>
    </xf>
    <xf numFmtId="0" fontId="8" fillId="0" borderId="0" xfId="0" applyFont="1" applyProtection="1">
      <protection hidden="1"/>
    </xf>
    <xf numFmtId="14" fontId="0" fillId="0" borderId="0" xfId="0" applyNumberFormat="1" applyProtection="1">
      <protection hidden="1"/>
    </xf>
    <xf numFmtId="167" fontId="4" fillId="0" borderId="0" xfId="0" applyNumberFormat="1" applyFont="1" applyProtection="1">
      <protection hidden="1"/>
    </xf>
    <xf numFmtId="14" fontId="4" fillId="0" borderId="0" xfId="0" applyNumberFormat="1" applyFont="1" applyProtection="1">
      <protection hidden="1"/>
    </xf>
    <xf numFmtId="168" fontId="4" fillId="0" borderId="0" xfId="0" applyNumberFormat="1" applyFont="1" applyProtection="1">
      <protection hidden="1"/>
    </xf>
    <xf numFmtId="167" fontId="0" fillId="0" borderId="0" xfId="0" applyNumberFormat="1" applyProtection="1">
      <protection hidden="1"/>
    </xf>
    <xf numFmtId="0" fontId="6" fillId="0" borderId="0" xfId="0" applyFont="1" applyProtection="1">
      <protection hidden="1"/>
    </xf>
    <xf numFmtId="166" fontId="4" fillId="0" borderId="0" xfId="0" applyNumberFormat="1" applyFont="1" applyProtection="1">
      <protection hidden="1"/>
    </xf>
    <xf numFmtId="15" fontId="4" fillId="0" borderId="0" xfId="0" applyNumberFormat="1" applyFont="1" applyProtection="1">
      <protection hidden="1"/>
    </xf>
    <xf numFmtId="0" fontId="2" fillId="0" borderId="0" xfId="0" applyFont="1" applyProtection="1">
      <protection hidden="1"/>
    </xf>
    <xf numFmtId="0" fontId="3" fillId="0" borderId="0" xfId="0" applyFont="1" applyProtection="1">
      <protection hidden="1"/>
    </xf>
    <xf numFmtId="0" fontId="4" fillId="0" borderId="0" xfId="0" applyFont="1" applyAlignment="1" applyProtection="1">
      <alignment horizontal="left" vertical="top" wrapText="1"/>
      <protection hidden="1"/>
    </xf>
    <xf numFmtId="0" fontId="4" fillId="0" borderId="7" xfId="0" applyFont="1" applyBorder="1" applyAlignment="1" applyProtection="1">
      <alignment horizontal="left" vertical="top" wrapText="1"/>
      <protection hidden="1"/>
    </xf>
    <xf numFmtId="0" fontId="4" fillId="0" borderId="1" xfId="0" applyFont="1" applyBorder="1" applyAlignment="1" applyProtection="1">
      <alignment horizontal="left" vertical="top" wrapText="1"/>
      <protection hidden="1"/>
    </xf>
    <xf numFmtId="0" fontId="3" fillId="0" borderId="0" xfId="0" applyFont="1" applyAlignment="1" applyProtection="1">
      <alignment horizontal="left"/>
      <protection hidden="1"/>
    </xf>
    <xf numFmtId="0" fontId="6" fillId="0" borderId="0" xfId="0" applyFont="1" applyAlignment="1" applyProtection="1">
      <alignment horizontal="left" vertical="top" wrapText="1"/>
      <protection hidden="1"/>
    </xf>
    <xf numFmtId="0" fontId="4" fillId="0" borderId="17" xfId="0" applyFont="1" applyBorder="1" applyAlignment="1" applyProtection="1">
      <alignment horizontal="left" vertical="top" wrapText="1"/>
      <protection hidden="1"/>
    </xf>
    <xf numFmtId="0" fontId="4" fillId="0" borderId="18" xfId="0" applyFont="1" applyBorder="1" applyAlignment="1" applyProtection="1">
      <alignment horizontal="left" vertical="top" wrapText="1"/>
      <protection hidden="1"/>
    </xf>
    <xf numFmtId="0" fontId="4" fillId="0" borderId="0" xfId="0" applyFont="1" applyAlignment="1">
      <alignment horizontal="left" vertical="top" wrapText="1"/>
    </xf>
    <xf numFmtId="0" fontId="14" fillId="0" borderId="0" xfId="0" applyFont="1" applyAlignment="1" applyProtection="1">
      <alignment vertical="center"/>
      <protection hidden="1"/>
    </xf>
    <xf numFmtId="0" fontId="9" fillId="0" borderId="0" xfId="0" applyFont="1" applyAlignment="1" applyProtection="1">
      <alignment vertical="top" wrapText="1"/>
      <protection hidden="1"/>
    </xf>
  </cellXfs>
  <cellStyles count="1">
    <cellStyle name="Normal" xfId="0" builtinId="0"/>
  </cellStyles>
  <dxfs count="25">
    <dxf>
      <protection locked="1" hidden="1"/>
    </dxf>
    <dxf>
      <font>
        <b val="0"/>
        <i val="0"/>
        <strike val="0"/>
        <condense val="0"/>
        <extend val="0"/>
        <outline val="0"/>
        <shadow val="0"/>
        <u val="none"/>
        <vertAlign val="baseline"/>
        <sz val="10"/>
        <color auto="1"/>
        <name val="Arial"/>
        <family val="2"/>
        <charset val="1"/>
        <scheme val="none"/>
      </font>
      <numFmt numFmtId="167" formatCode="_(\$* #,##0.00_);_(\$* \(#,##0.00\);_(\$* \-??_);_(@_)"/>
      <protection locked="1" hidden="1"/>
    </dxf>
    <dxf>
      <protection locked="1" hidden="1"/>
    </dxf>
    <dxf>
      <protection locked="1" hidden="1"/>
    </dxf>
    <dxf>
      <protection locked="1" hidden="1"/>
    </dxf>
    <dxf>
      <font>
        <b val="0"/>
        <i val="0"/>
        <strike val="0"/>
        <condense val="0"/>
        <extend val="0"/>
        <outline val="0"/>
        <shadow val="0"/>
        <u val="none"/>
        <vertAlign val="baseline"/>
        <sz val="10"/>
        <color auto="1"/>
        <name val="Arial"/>
        <family val="2"/>
        <charset val="1"/>
        <scheme val="none"/>
      </font>
      <numFmt numFmtId="168" formatCode="m/dd/yyyy"/>
      <protection locked="1" hidden="1"/>
    </dxf>
    <dxf>
      <protection locked="1" hidden="1"/>
    </dxf>
    <dxf>
      <protection locked="1" hidden="1"/>
    </dxf>
    <dxf>
      <font>
        <b val="0"/>
        <i val="0"/>
        <strike val="0"/>
        <condense val="0"/>
        <extend val="0"/>
        <outline val="0"/>
        <shadow val="0"/>
        <u val="none"/>
        <vertAlign val="baseline"/>
        <sz val="10"/>
        <color auto="1"/>
        <name val="Arial"/>
        <family val="2"/>
        <charset val="1"/>
        <scheme val="none"/>
      </font>
      <protection locked="1" hidden="1"/>
    </dxf>
    <dxf>
      <font>
        <b val="0"/>
        <i val="0"/>
        <strike val="0"/>
        <condense val="0"/>
        <extend val="0"/>
        <outline val="0"/>
        <shadow val="0"/>
        <u val="none"/>
        <vertAlign val="baseline"/>
        <sz val="10"/>
        <color auto="1"/>
        <name val="Arial"/>
        <family val="2"/>
        <charset val="1"/>
        <scheme val="none"/>
      </font>
      <numFmt numFmtId="167" formatCode="_(\$* #,##0.00_);_(\$* \(#,##0.00\);_(\$* \-??_);_(@_)"/>
      <protection locked="1" hidden="1"/>
    </dxf>
    <dxf>
      <protection locked="1" hidden="1"/>
    </dxf>
    <dxf>
      <protection locked="1" hidden="1"/>
    </dxf>
    <dxf>
      <protection locked="1" hidden="1"/>
    </dxf>
    <dxf>
      <numFmt numFmtId="19" formatCode="m/d/yyyy"/>
      <protection locked="1" hidden="1"/>
    </dxf>
    <dxf>
      <protection locked="1" hidden="1"/>
    </dxf>
    <dxf>
      <protection locked="1" hidden="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1B5E2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B7B7B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66"/>
      <rgbColor rgb="FF969696"/>
      <rgbColor rgb="FF10243E"/>
      <rgbColor rgb="FF66BB6A"/>
      <rgbColor rgb="FF003300"/>
      <rgbColor rgb="FF333300"/>
      <rgbColor rgb="FF993300"/>
      <rgbColor rgb="FF993366"/>
      <rgbColor rgb="FF333399"/>
      <rgbColor rgb="FF59595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244B27B-C51F-4D35-9771-4DF2895CEC1C}" autoFormatId="16" applyNumberFormats="0" applyBorderFormats="0" applyFontFormats="0" applyPatternFormats="0" applyAlignmentFormats="0" applyWidthHeightFormats="0">
  <queryTableRefresh nextId="10">
    <queryTableFields count="5">
      <queryTableField id="8" name="Date" tableColumnId="7"/>
      <queryTableField id="2" name="Txn Type" tableColumnId="2"/>
      <queryTableField id="3" name="Customer" tableColumnId="3"/>
      <queryTableField id="4" name="Item(s)" tableColumnId="4"/>
      <queryTableField id="5" name="Amount"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528DE18-23C6-4897-93D2-6C87F8DBBFC8}" autoFormatId="16" applyNumberFormats="0" applyBorderFormats="0" applyFontFormats="0" applyPatternFormats="0" applyAlignmentFormats="0" applyWidthHeightFormats="0">
  <queryTableRefresh nextId="6">
    <queryTableFields count="5">
      <queryTableField id="1" name="Date" tableColumnId="1"/>
      <queryTableField id="2" name="Payee" tableColumnId="2"/>
      <queryTableField id="3" name="Category" tableColumnId="3"/>
      <queryTableField id="4" name="Payment Method" tableColumnId="4"/>
      <queryTableField id="5" name="Amount" tableColumnId="5"/>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11EFD7-E6D7-49CC-BB13-587833876555}" name="Sales" displayName="Sales" ref="A1:E88" tableType="queryTable" totalsRowShown="0">
  <autoFilter ref="A1:E88" xr:uid="{A011EFD7-E6D7-49CC-BB13-587833876555}"/>
  <tableColumns count="5">
    <tableColumn id="7" xr3:uid="{8D66DB7A-A346-4B26-A3C2-5AE9D0B4C13F}" uniqueName="7" name="Date" queryTableFieldId="8" dataDxfId="24"/>
    <tableColumn id="2" xr3:uid="{B0179D53-A8EB-441C-A9B7-A648ED037415}" uniqueName="2" name="Txn Type" queryTableFieldId="2" dataDxfId="23"/>
    <tableColumn id="3" xr3:uid="{D03167A5-DEEF-4001-9DB7-F1115B75D413}" uniqueName="3" name="Customer" queryTableFieldId="3" dataDxfId="22"/>
    <tableColumn id="4" xr3:uid="{80D2F8F2-33AA-41BF-AF07-AF3EDF176F59}" uniqueName="4" name="Item(s)" queryTableFieldId="4" dataDxfId="21"/>
    <tableColumn id="5" xr3:uid="{F14BB118-DFBF-480D-A9D7-A50E5B5EB432}" uniqueName="5" name="Amount" queryTableField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2E812B-1550-493B-A9B3-0A2DF128473A}" name="Expenses" displayName="Expenses" ref="A1:E33" tableType="queryTable" totalsRowShown="0">
  <autoFilter ref="A1:E33" xr:uid="{0C2E812B-1550-493B-A9B3-0A2DF128473A}"/>
  <tableColumns count="5">
    <tableColumn id="1" xr3:uid="{B5129EAE-2A92-4FDD-AD5F-53202DABE50C}" uniqueName="1" name="Date" queryTableFieldId="1" dataDxfId="20"/>
    <tableColumn id="2" xr3:uid="{8DD52261-DE15-4C42-958B-E09D7A54A81A}" uniqueName="2" name="Payee" queryTableFieldId="2" dataDxfId="19"/>
    <tableColumn id="3" xr3:uid="{3B80B4D8-895F-4535-90FC-6313841CBA72}" uniqueName="3" name="Category" queryTableFieldId="3" dataDxfId="18"/>
    <tableColumn id="4" xr3:uid="{728F0B15-6001-451E-B0C5-E82A8D9CC87A}" uniqueName="4" name="Payment Method" queryTableFieldId="4" dataDxfId="17"/>
    <tableColumn id="5" xr3:uid="{F127228E-EE6A-47B8-96EE-DF92AD05606B}" uniqueName="5" name="Amount" queryTableFieldId="5" dataDxfId="1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CB5504-CCFC-4B23-9ADE-7146C6DB0263}" name="Table1" displayName="Table1" ref="A3:F88" totalsRowShown="0" headerRowDxfId="15" dataDxfId="14">
  <autoFilter ref="A3:F88" xr:uid="{ECCB5504-CCFC-4B23-9ADE-7146C6DB0263}"/>
  <tableColumns count="6">
    <tableColumn id="1" xr3:uid="{CC6CC9FB-D42E-4F80-B29A-0663F132127C}" name="Date" dataDxfId="13"/>
    <tableColumn id="2" xr3:uid="{E47518A5-6FE2-47DE-AF00-D2B0BCD9AA68}" name="Txn Type" dataDxfId="12"/>
    <tableColumn id="3" xr3:uid="{FDEFA7AA-DF4C-4EDC-971F-CB63D329F468}" name="Customer" dataDxfId="11"/>
    <tableColumn id="4" xr3:uid="{ED4318CF-4F7F-4263-AB76-B510160442A2}" name="Item(s)" dataDxfId="10"/>
    <tableColumn id="5" xr3:uid="{856531D5-27AC-4BA7-879D-32AB79517AAE}" name="Amount" dataDxfId="9"/>
    <tableColumn id="6" xr3:uid="{DFA403E8-BA06-4DA2-B88B-4F96015C368A}" name="Entry #" dataDxfId="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757057-362C-428C-A60E-1419C5B96915}" name="Table2" displayName="Table2" ref="H3:M35" totalsRowShown="0" headerRowDxfId="7" dataDxfId="6">
  <autoFilter ref="H3:M35" xr:uid="{97757057-362C-428C-A60E-1419C5B96915}"/>
  <tableColumns count="6">
    <tableColumn id="1" xr3:uid="{40833A97-284A-4753-BB0B-07C4AECBE009}" name="Date" dataDxfId="5"/>
    <tableColumn id="2" xr3:uid="{DD5C41BF-5166-465F-AD3D-C2C1005F9FF2}" name="Payee" dataDxfId="4"/>
    <tableColumn id="3" xr3:uid="{B29772F6-E027-4A25-BDFB-9E661A6C1CA0}" name="Category" dataDxfId="3"/>
    <tableColumn id="4" xr3:uid="{0D564C84-5758-47EE-A8CE-9890A168495B}" name="Payment Method" dataDxfId="2"/>
    <tableColumn id="5" xr3:uid="{35F2ACB4-E249-4EB7-8386-1EF8C7DFC686}" name="Amount" dataDxfId="1"/>
    <tableColumn id="6" xr3:uid="{E969CCF9-1E1D-4079-BF3E-442E58CD227A}" name="Entry #"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3B8-6689-4606-A579-34F5CE5D64D7}">
  <sheetPr codeName="Sheet10"/>
  <dimension ref="A1:E29"/>
  <sheetViews>
    <sheetView tabSelected="1" workbookViewId="0"/>
    <sheetView showGridLines="0" topLeftCell="A13" zoomScale="109" zoomScaleNormal="130" workbookViewId="1">
      <selection activeCell="F5" sqref="F5"/>
    </sheetView>
  </sheetViews>
  <sheetFormatPr defaultRowHeight="14.4" x14ac:dyDescent="0.3"/>
  <cols>
    <col min="1" max="1" width="33.33203125" style="13" customWidth="1"/>
    <col min="2" max="2" width="16" style="13" customWidth="1"/>
    <col min="3" max="4" width="8.88671875" style="13"/>
    <col min="5" max="5" width="33.33203125" style="13" customWidth="1"/>
    <col min="6" max="6" width="10.21875" style="13" customWidth="1"/>
    <col min="7" max="16384" width="8.88671875" style="13"/>
  </cols>
  <sheetData>
    <row r="1" spans="1:5" ht="19.5" customHeight="1" x14ac:dyDescent="0.4">
      <c r="A1" s="12" t="s">
        <v>453</v>
      </c>
      <c r="B1" s="69"/>
      <c r="C1" s="69"/>
      <c r="D1" s="69"/>
      <c r="E1" s="69"/>
    </row>
    <row r="3" spans="1:5" ht="15" customHeight="1" x14ac:dyDescent="0.3">
      <c r="A3" s="15" t="s">
        <v>454</v>
      </c>
      <c r="B3" s="70"/>
      <c r="C3" s="70"/>
      <c r="D3" s="70"/>
      <c r="E3" s="70"/>
    </row>
    <row r="4" spans="1:5" ht="55.95" customHeight="1" x14ac:dyDescent="0.3">
      <c r="A4" s="75" t="s">
        <v>464</v>
      </c>
      <c r="B4" s="75"/>
      <c r="C4" s="75"/>
      <c r="D4" s="75"/>
      <c r="E4" s="75"/>
    </row>
    <row r="5" spans="1:5" ht="15" customHeight="1" x14ac:dyDescent="0.3">
      <c r="A5" s="15" t="s">
        <v>455</v>
      </c>
      <c r="B5" s="70"/>
      <c r="C5" s="70"/>
      <c r="D5" s="70"/>
      <c r="E5" s="70"/>
    </row>
    <row r="6" spans="1:5" ht="42.15" customHeight="1" x14ac:dyDescent="0.3">
      <c r="A6" s="75" t="s">
        <v>456</v>
      </c>
      <c r="B6" s="75"/>
      <c r="C6" s="75"/>
      <c r="D6" s="75"/>
      <c r="E6" s="75"/>
    </row>
    <row r="8" spans="1:5" ht="15" customHeight="1" x14ac:dyDescent="0.3">
      <c r="A8" s="15" t="s">
        <v>457</v>
      </c>
      <c r="B8" s="70"/>
      <c r="C8" s="70"/>
      <c r="D8" s="70"/>
      <c r="E8" s="70"/>
    </row>
    <row r="9" spans="1:5" ht="15" customHeight="1" x14ac:dyDescent="0.3">
      <c r="A9" s="70"/>
      <c r="B9" s="70"/>
      <c r="C9" s="70"/>
      <c r="D9" s="70"/>
      <c r="E9" s="70"/>
    </row>
    <row r="10" spans="1:5" ht="30" customHeight="1" x14ac:dyDescent="0.3">
      <c r="A10" s="72" t="s">
        <v>465</v>
      </c>
      <c r="B10" s="72"/>
      <c r="C10" s="72"/>
      <c r="D10" s="72"/>
      <c r="E10" s="72"/>
    </row>
    <row r="11" spans="1:5" ht="30" customHeight="1" x14ac:dyDescent="0.3">
      <c r="A11" s="72" t="s">
        <v>466</v>
      </c>
      <c r="B11" s="72"/>
      <c r="C11" s="72"/>
      <c r="D11" s="72"/>
      <c r="E11" s="72"/>
    </row>
    <row r="12" spans="1:5" ht="28.2" customHeight="1" x14ac:dyDescent="0.3">
      <c r="A12" s="71" t="s">
        <v>467</v>
      </c>
      <c r="B12" s="71"/>
      <c r="C12" s="71"/>
      <c r="D12" s="71"/>
      <c r="E12" s="73"/>
    </row>
    <row r="13" spans="1:5" ht="72" customHeight="1" x14ac:dyDescent="0.3">
      <c r="A13" s="76" t="s">
        <v>469</v>
      </c>
      <c r="B13" s="76"/>
      <c r="C13" s="76"/>
      <c r="D13" s="76"/>
      <c r="E13" s="77"/>
    </row>
    <row r="14" spans="1:5" ht="61.95" customHeight="1" x14ac:dyDescent="0.3">
      <c r="A14" s="72" t="s">
        <v>470</v>
      </c>
      <c r="B14" s="72"/>
      <c r="C14" s="72"/>
      <c r="D14" s="72"/>
      <c r="E14" s="72"/>
    </row>
    <row r="15" spans="1:5" ht="61.95" customHeight="1" x14ac:dyDescent="0.3">
      <c r="A15" s="72" t="s">
        <v>468</v>
      </c>
      <c r="B15" s="72"/>
      <c r="C15" s="72"/>
      <c r="D15" s="72"/>
      <c r="E15" s="72"/>
    </row>
    <row r="17" spans="1:5" ht="15" customHeight="1" x14ac:dyDescent="0.3">
      <c r="A17" s="15" t="s">
        <v>458</v>
      </c>
      <c r="B17" s="70"/>
      <c r="C17" s="70"/>
      <c r="D17" s="70"/>
      <c r="E17" s="70"/>
    </row>
    <row r="18" spans="1:5" ht="109.95" customHeight="1" x14ac:dyDescent="0.3">
      <c r="A18" s="74" t="e" vm="1">
        <v>#VALUE!</v>
      </c>
      <c r="B18" s="74"/>
      <c r="C18" s="70"/>
      <c r="D18" s="70"/>
      <c r="E18" s="70"/>
    </row>
    <row r="19" spans="1:5" ht="42.15" customHeight="1" x14ac:dyDescent="0.3">
      <c r="A19" s="71" t="s">
        <v>471</v>
      </c>
      <c r="B19" s="71"/>
      <c r="C19" s="71"/>
      <c r="D19" s="71"/>
      <c r="E19" s="71"/>
    </row>
    <row r="20" spans="1:5" ht="49.95" customHeight="1" x14ac:dyDescent="0.3">
      <c r="A20" s="72" t="s">
        <v>473</v>
      </c>
      <c r="B20" s="72"/>
      <c r="C20" s="72"/>
      <c r="D20" s="72"/>
      <c r="E20" s="72"/>
    </row>
    <row r="21" spans="1:5" ht="60" customHeight="1" x14ac:dyDescent="0.3">
      <c r="A21" s="72" t="s">
        <v>474</v>
      </c>
      <c r="B21" s="72"/>
      <c r="C21" s="72"/>
      <c r="D21" s="72"/>
      <c r="E21" s="72"/>
    </row>
    <row r="22" spans="1:5" ht="111" customHeight="1" x14ac:dyDescent="0.3">
      <c r="A22" s="72" t="s">
        <v>475</v>
      </c>
      <c r="B22" s="72"/>
      <c r="C22" s="72"/>
      <c r="D22" s="72"/>
      <c r="E22" s="72"/>
    </row>
    <row r="24" spans="1:5" ht="15" customHeight="1" x14ac:dyDescent="0.3">
      <c r="A24" s="15" t="s">
        <v>459</v>
      </c>
      <c r="B24" s="70"/>
      <c r="C24" s="70"/>
      <c r="D24" s="70"/>
      <c r="E24" s="70"/>
    </row>
    <row r="25" spans="1:5" ht="69.900000000000006" customHeight="1" x14ac:dyDescent="0.3">
      <c r="A25" s="71" t="s">
        <v>472</v>
      </c>
      <c r="B25" s="71"/>
      <c r="C25" s="71"/>
      <c r="D25" s="71"/>
      <c r="E25" s="71"/>
    </row>
    <row r="26" spans="1:5" ht="15" customHeight="1" x14ac:dyDescent="0.3">
      <c r="A26" s="15" t="s">
        <v>460</v>
      </c>
      <c r="B26" s="70"/>
      <c r="C26" s="70"/>
      <c r="D26" s="70"/>
      <c r="E26" s="70"/>
    </row>
    <row r="27" spans="1:5" ht="69.900000000000006" customHeight="1" x14ac:dyDescent="0.3">
      <c r="A27" s="71" t="s">
        <v>461</v>
      </c>
      <c r="B27" s="71"/>
      <c r="C27" s="71"/>
      <c r="D27" s="71"/>
      <c r="E27" s="71"/>
    </row>
    <row r="28" spans="1:5" ht="15" customHeight="1" x14ac:dyDescent="0.3">
      <c r="A28" s="15" t="s">
        <v>462</v>
      </c>
      <c r="B28" s="70"/>
      <c r="C28" s="70"/>
      <c r="D28" s="70"/>
      <c r="E28" s="70"/>
    </row>
    <row r="29" spans="1:5" ht="83.7" customHeight="1" x14ac:dyDescent="0.3">
      <c r="A29" s="71" t="s">
        <v>463</v>
      </c>
      <c r="B29" s="71"/>
      <c r="C29" s="71"/>
      <c r="D29" s="71"/>
      <c r="E29" s="71"/>
    </row>
  </sheetData>
  <sheetProtection algorithmName="SHA-512" hashValue="NmiNKLj4bsdFN09TfrCo9QgBwcz+iscuAcclascc8l0w3MPtTu2U5qh3b248ECXIBLFiVwKy2S8P6CEZqpGjWA==" saltValue="nIV9AWkOvML5kzB/WmkAKA==" spinCount="100000" sheet="1" objects="1" scenarios="1" selectLockedCells="1"/>
  <mergeCells count="16">
    <mergeCell ref="A4:E4"/>
    <mergeCell ref="A6:E6"/>
    <mergeCell ref="A10:E10"/>
    <mergeCell ref="A13:E13"/>
    <mergeCell ref="A25:E25"/>
    <mergeCell ref="A27:E27"/>
    <mergeCell ref="A29:E29"/>
    <mergeCell ref="A11:E11"/>
    <mergeCell ref="A12:E12"/>
    <mergeCell ref="A14:E14"/>
    <mergeCell ref="A15:E15"/>
    <mergeCell ref="A18:B18"/>
    <mergeCell ref="A19:E19"/>
    <mergeCell ref="A20:E20"/>
    <mergeCell ref="A21:E21"/>
    <mergeCell ref="A22:E2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G44"/>
  <sheetViews>
    <sheetView zoomScale="97" zoomScaleNormal="97" workbookViewId="0">
      <selection activeCell="F19" sqref="F19"/>
    </sheetView>
    <sheetView workbookViewId="1">
      <selection activeCell="D15" sqref="A1:XFD1048576"/>
    </sheetView>
  </sheetViews>
  <sheetFormatPr defaultColWidth="8.6640625" defaultRowHeight="14.4" x14ac:dyDescent="0.3"/>
  <cols>
    <col min="1" max="1" width="33.33203125" customWidth="1"/>
    <col min="2" max="4" width="16" customWidth="1"/>
    <col min="5" max="5" width="33.33203125" customWidth="1"/>
    <col min="6" max="7" width="10.21875" customWidth="1"/>
  </cols>
  <sheetData>
    <row r="1" spans="1:7" ht="19.5" customHeight="1" x14ac:dyDescent="0.4">
      <c r="A1" s="10" t="s">
        <v>0</v>
      </c>
    </row>
    <row r="3" spans="1:7" ht="15" customHeight="1" x14ac:dyDescent="0.3">
      <c r="A3" s="11" t="s">
        <v>1</v>
      </c>
    </row>
    <row r="4" spans="1:7" ht="15" customHeight="1" x14ac:dyDescent="0.3">
      <c r="A4" s="2" t="s">
        <v>2</v>
      </c>
    </row>
    <row r="5" spans="1:7" ht="15" customHeight="1" x14ac:dyDescent="0.3">
      <c r="A5" s="2" t="s">
        <v>3</v>
      </c>
    </row>
    <row r="6" spans="1:7" ht="15" customHeight="1" x14ac:dyDescent="0.3"/>
    <row r="7" spans="1:7" ht="15" customHeight="1" x14ac:dyDescent="0.3">
      <c r="A7" s="11" t="s">
        <v>4</v>
      </c>
      <c r="E7" s="11" t="s">
        <v>5</v>
      </c>
    </row>
    <row r="8" spans="1:7" ht="15" customHeight="1" x14ac:dyDescent="0.3">
      <c r="A8" s="3" t="s">
        <v>6</v>
      </c>
      <c r="B8" s="3" t="s">
        <v>7</v>
      </c>
      <c r="C8" s="3" t="s">
        <v>8</v>
      </c>
      <c r="E8" s="3" t="s">
        <v>9</v>
      </c>
      <c r="F8" s="3" t="s">
        <v>10</v>
      </c>
      <c r="G8" s="3" t="s">
        <v>11</v>
      </c>
    </row>
    <row r="9" spans="1:7" ht="15" customHeight="1" x14ac:dyDescent="0.3">
      <c r="A9" s="4" t="s">
        <v>12</v>
      </c>
      <c r="B9" s="4" t="s">
        <v>13</v>
      </c>
      <c r="C9" s="4" t="s">
        <v>10</v>
      </c>
      <c r="E9" s="4" t="s">
        <v>12</v>
      </c>
      <c r="F9" s="5">
        <v>18500</v>
      </c>
      <c r="G9" s="4"/>
    </row>
    <row r="10" spans="1:7" ht="15" customHeight="1" x14ac:dyDescent="0.3">
      <c r="A10" s="4" t="s">
        <v>14</v>
      </c>
      <c r="B10" s="4" t="s">
        <v>13</v>
      </c>
      <c r="C10" s="4" t="s">
        <v>10</v>
      </c>
      <c r="E10" s="4" t="s">
        <v>14</v>
      </c>
      <c r="F10" s="5">
        <v>4200</v>
      </c>
      <c r="G10" s="4"/>
    </row>
    <row r="11" spans="1:7" ht="15" customHeight="1" x14ac:dyDescent="0.3">
      <c r="A11" s="4" t="s">
        <v>15</v>
      </c>
      <c r="B11" s="4" t="s">
        <v>13</v>
      </c>
      <c r="C11" s="4" t="s">
        <v>10</v>
      </c>
      <c r="E11" s="4" t="s">
        <v>15</v>
      </c>
      <c r="F11" s="5">
        <v>1100</v>
      </c>
      <c r="G11" s="4"/>
    </row>
    <row r="12" spans="1:7" ht="15" customHeight="1" x14ac:dyDescent="0.3">
      <c r="A12" s="4" t="s">
        <v>16</v>
      </c>
      <c r="B12" s="4" t="s">
        <v>13</v>
      </c>
      <c r="C12" s="4" t="s">
        <v>10</v>
      </c>
      <c r="E12" s="4" t="s">
        <v>16</v>
      </c>
      <c r="F12" s="5">
        <v>2000</v>
      </c>
      <c r="G12" s="4"/>
    </row>
    <row r="13" spans="1:7" ht="14.25" customHeight="1" x14ac:dyDescent="0.3">
      <c r="A13" s="4" t="s">
        <v>17</v>
      </c>
      <c r="B13" s="4" t="s">
        <v>13</v>
      </c>
      <c r="C13" s="4" t="s">
        <v>10</v>
      </c>
      <c r="E13" s="4" t="s">
        <v>17</v>
      </c>
      <c r="F13" s="5">
        <v>12000</v>
      </c>
      <c r="G13" s="4"/>
    </row>
    <row r="14" spans="1:7" ht="15" customHeight="1" x14ac:dyDescent="0.3">
      <c r="A14" s="4" t="s">
        <v>18</v>
      </c>
      <c r="B14" s="4" t="s">
        <v>19</v>
      </c>
      <c r="C14" s="4" t="s">
        <v>11</v>
      </c>
      <c r="E14" s="4" t="s">
        <v>18</v>
      </c>
      <c r="F14" s="4"/>
      <c r="G14" s="5">
        <v>400</v>
      </c>
    </row>
    <row r="15" spans="1:7" ht="15" customHeight="1" x14ac:dyDescent="0.3">
      <c r="A15" s="4" t="s">
        <v>20</v>
      </c>
      <c r="B15" s="4" t="s">
        <v>21</v>
      </c>
      <c r="C15" s="4" t="s">
        <v>11</v>
      </c>
      <c r="E15" s="4" t="s">
        <v>20</v>
      </c>
      <c r="F15" s="4"/>
      <c r="G15" s="5">
        <v>3150</v>
      </c>
    </row>
    <row r="16" spans="1:7" ht="15" customHeight="1" x14ac:dyDescent="0.3">
      <c r="A16" s="4" t="s">
        <v>22</v>
      </c>
      <c r="B16" s="4" t="s">
        <v>21</v>
      </c>
      <c r="C16" s="4" t="s">
        <v>11</v>
      </c>
      <c r="E16" s="4" t="s">
        <v>22</v>
      </c>
      <c r="F16" s="4"/>
      <c r="G16" s="5">
        <v>1200</v>
      </c>
    </row>
    <row r="17" spans="1:7" ht="15" customHeight="1" x14ac:dyDescent="0.3">
      <c r="A17" s="4" t="s">
        <v>23</v>
      </c>
      <c r="B17" s="4" t="s">
        <v>21</v>
      </c>
      <c r="C17" s="4" t="s">
        <v>11</v>
      </c>
      <c r="E17" s="4" t="s">
        <v>24</v>
      </c>
      <c r="F17" s="4"/>
      <c r="G17" s="5">
        <v>6000</v>
      </c>
    </row>
    <row r="18" spans="1:7" ht="15" customHeight="1" x14ac:dyDescent="0.3">
      <c r="A18" s="4" t="s">
        <v>24</v>
      </c>
      <c r="B18" s="4" t="s">
        <v>21</v>
      </c>
      <c r="C18" s="4" t="s">
        <v>11</v>
      </c>
      <c r="E18" s="4" t="s">
        <v>25</v>
      </c>
      <c r="F18" s="4"/>
      <c r="G18" s="5">
        <v>27050</v>
      </c>
    </row>
    <row r="19" spans="1:7" ht="15" customHeight="1" x14ac:dyDescent="0.3">
      <c r="A19" s="4" t="s">
        <v>25</v>
      </c>
      <c r="B19" s="4" t="s">
        <v>26</v>
      </c>
      <c r="C19" s="4" t="s">
        <v>11</v>
      </c>
      <c r="E19" s="3" t="s">
        <v>27</v>
      </c>
      <c r="F19" s="6">
        <f>SUM(F9:F18)</f>
        <v>37800</v>
      </c>
      <c r="G19" s="6">
        <f>SUM(G9:G18)</f>
        <v>37800</v>
      </c>
    </row>
    <row r="20" spans="1:7" ht="15" customHeight="1" x14ac:dyDescent="0.3">
      <c r="A20" s="4" t="s">
        <v>28</v>
      </c>
      <c r="B20" s="4" t="s">
        <v>26</v>
      </c>
      <c r="C20" s="4" t="s">
        <v>10</v>
      </c>
    </row>
    <row r="21" spans="1:7" ht="15" customHeight="1" x14ac:dyDescent="0.3">
      <c r="A21" s="4" t="s">
        <v>29</v>
      </c>
      <c r="B21" s="4" t="s">
        <v>30</v>
      </c>
      <c r="C21" s="4" t="s">
        <v>11</v>
      </c>
    </row>
    <row r="22" spans="1:7" ht="15" customHeight="1" x14ac:dyDescent="0.3">
      <c r="A22" s="4" t="s">
        <v>31</v>
      </c>
      <c r="B22" s="4" t="s">
        <v>32</v>
      </c>
      <c r="C22" s="4" t="s">
        <v>10</v>
      </c>
    </row>
    <row r="23" spans="1:7" ht="15" customHeight="1" x14ac:dyDescent="0.3">
      <c r="A23" s="4" t="s">
        <v>33</v>
      </c>
      <c r="B23" s="4" t="s">
        <v>32</v>
      </c>
      <c r="C23" s="4" t="s">
        <v>10</v>
      </c>
    </row>
    <row r="24" spans="1:7" ht="15" customHeight="1" x14ac:dyDescent="0.3">
      <c r="A24" s="4" t="s">
        <v>34</v>
      </c>
      <c r="B24" s="4" t="s">
        <v>32</v>
      </c>
      <c r="C24" s="4" t="s">
        <v>10</v>
      </c>
    </row>
    <row r="25" spans="1:7" ht="15" customHeight="1" x14ac:dyDescent="0.3">
      <c r="A25" s="4" t="s">
        <v>35</v>
      </c>
      <c r="B25" s="4" t="s">
        <v>32</v>
      </c>
      <c r="C25" s="4" t="s">
        <v>10</v>
      </c>
    </row>
    <row r="26" spans="1:7" ht="15" customHeight="1" x14ac:dyDescent="0.3">
      <c r="A26" s="4" t="s">
        <v>36</v>
      </c>
      <c r="B26" s="4" t="s">
        <v>32</v>
      </c>
      <c r="C26" s="4" t="s">
        <v>10</v>
      </c>
    </row>
    <row r="27" spans="1:7" ht="15" customHeight="1" x14ac:dyDescent="0.3">
      <c r="A27" s="4" t="s">
        <v>37</v>
      </c>
      <c r="B27" s="4" t="s">
        <v>32</v>
      </c>
      <c r="C27" s="4" t="s">
        <v>10</v>
      </c>
    </row>
    <row r="28" spans="1:7" ht="15" customHeight="1" x14ac:dyDescent="0.3">
      <c r="A28" s="4" t="s">
        <v>38</v>
      </c>
      <c r="B28" s="4" t="s">
        <v>32</v>
      </c>
      <c r="C28" s="4" t="s">
        <v>10</v>
      </c>
    </row>
    <row r="29" spans="1:7" ht="15" customHeight="1" x14ac:dyDescent="0.3">
      <c r="A29" s="4" t="s">
        <v>39</v>
      </c>
      <c r="B29" s="4" t="s">
        <v>32</v>
      </c>
      <c r="C29" s="4" t="s">
        <v>10</v>
      </c>
    </row>
    <row r="30" spans="1:7" ht="15" customHeight="1" x14ac:dyDescent="0.3">
      <c r="A30" s="4" t="s">
        <v>40</v>
      </c>
      <c r="B30" s="4" t="s">
        <v>32</v>
      </c>
      <c r="C30" s="4" t="s">
        <v>10</v>
      </c>
    </row>
    <row r="31" spans="1:7" ht="15" customHeight="1" x14ac:dyDescent="0.3"/>
    <row r="32" spans="1:7" ht="15" customHeight="1" x14ac:dyDescent="0.3">
      <c r="A32" s="1" t="s">
        <v>41</v>
      </c>
    </row>
    <row r="33" spans="1:5" ht="27.75" customHeight="1" x14ac:dyDescent="0.3">
      <c r="A33" s="78" t="s">
        <v>42</v>
      </c>
      <c r="B33" s="78"/>
      <c r="C33" s="78"/>
      <c r="D33" s="78"/>
      <c r="E33" s="78"/>
    </row>
    <row r="34" spans="1:5" ht="27.75" customHeight="1" x14ac:dyDescent="0.3">
      <c r="A34" s="78" t="s">
        <v>43</v>
      </c>
      <c r="B34" s="78"/>
      <c r="C34" s="78"/>
      <c r="D34" s="78"/>
      <c r="E34" s="78"/>
    </row>
    <row r="35" spans="1:5" ht="15" customHeight="1" x14ac:dyDescent="0.3">
      <c r="A35" s="78" t="s">
        <v>44</v>
      </c>
      <c r="B35" s="78"/>
      <c r="C35" s="78"/>
      <c r="D35" s="78"/>
      <c r="E35" s="78"/>
    </row>
    <row r="36" spans="1:5" ht="15" customHeight="1" x14ac:dyDescent="0.3">
      <c r="A36" s="2"/>
    </row>
    <row r="37" spans="1:5" ht="15" customHeight="1" x14ac:dyDescent="0.3">
      <c r="A37" s="2"/>
    </row>
    <row r="39" spans="1:5" ht="15" customHeight="1" x14ac:dyDescent="0.3"/>
    <row r="40" spans="1:5" ht="15" customHeight="1" x14ac:dyDescent="0.3"/>
    <row r="41" spans="1:5" ht="15" customHeight="1" x14ac:dyDescent="0.3"/>
    <row r="42" spans="1:5" ht="15" customHeight="1" x14ac:dyDescent="0.3"/>
    <row r="43" spans="1:5" ht="15" customHeight="1" x14ac:dyDescent="0.3"/>
    <row r="44" spans="1:5" ht="15" customHeight="1" x14ac:dyDescent="0.3"/>
  </sheetData>
  <sheetProtection algorithmName="SHA-512" hashValue="rHZ4tq4nA/sYsnKxqHH6KXDakxH4lk5qYBDNOWQ1YWkY7LHPwP9n0SvxSi+2/MDc21ZdBGUNJI7dYXrmAIEHrA==" saltValue="AItf/Q3pXA+woD2npF4vEQ==" spinCount="100000" sheet="1" objects="1" scenarios="1" selectLockedCells="1"/>
  <mergeCells count="3">
    <mergeCell ref="A33:E33"/>
    <mergeCell ref="A34:E34"/>
    <mergeCell ref="A35:E35"/>
  </mergeCells>
  <pageMargins left="0.75" right="0.75" top="1" bottom="1" header="0.511811023622047" footer="0.511811023622047"/>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E130"/>
  <sheetViews>
    <sheetView zoomScaleNormal="100" workbookViewId="0">
      <selection activeCell="C9" sqref="C9"/>
    </sheetView>
    <sheetView topLeftCell="A43" workbookViewId="1">
      <selection activeCell="F55" sqref="F55"/>
    </sheetView>
  </sheetViews>
  <sheetFormatPr defaultColWidth="8.6640625" defaultRowHeight="14.4" x14ac:dyDescent="0.3"/>
  <cols>
    <col min="1" max="1" width="20" style="13" customWidth="1"/>
    <col min="2" max="2" width="24" style="13" customWidth="1"/>
    <col min="3" max="3" width="22" style="13" customWidth="1"/>
    <col min="4" max="4" width="16" style="13" customWidth="1"/>
    <col min="5" max="5" width="14" style="13" customWidth="1"/>
    <col min="6" max="16384" width="8.6640625" style="13"/>
  </cols>
  <sheetData>
    <row r="1" spans="1:5" ht="20.25" customHeight="1" x14ac:dyDescent="0.4">
      <c r="A1" s="12" t="s">
        <v>476</v>
      </c>
    </row>
    <row r="3" spans="1:5" ht="15" customHeight="1" x14ac:dyDescent="0.3">
      <c r="A3" s="66" t="s">
        <v>45</v>
      </c>
    </row>
    <row r="4" spans="1:5" ht="15" customHeight="1" x14ac:dyDescent="0.3">
      <c r="A4" s="13" t="s">
        <v>46</v>
      </c>
      <c r="B4" s="13" t="s">
        <v>47</v>
      </c>
      <c r="C4" s="13" t="s">
        <v>48</v>
      </c>
      <c r="D4" s="13" t="s">
        <v>49</v>
      </c>
      <c r="E4" s="13" t="s">
        <v>50</v>
      </c>
    </row>
    <row r="5" spans="1:5" ht="15" customHeight="1" x14ac:dyDescent="0.3">
      <c r="A5" s="40" t="s">
        <v>51</v>
      </c>
      <c r="B5" s="40" t="s">
        <v>52</v>
      </c>
      <c r="C5" s="40" t="s">
        <v>53</v>
      </c>
      <c r="D5" s="40" t="s">
        <v>54</v>
      </c>
      <c r="E5" s="40" t="s">
        <v>55</v>
      </c>
    </row>
    <row r="6" spans="1:5" ht="15" customHeight="1" x14ac:dyDescent="0.3">
      <c r="A6" s="40" t="s">
        <v>56</v>
      </c>
      <c r="B6" s="40" t="s">
        <v>57</v>
      </c>
      <c r="C6" s="40" t="s">
        <v>58</v>
      </c>
      <c r="D6" s="40" t="s">
        <v>59</v>
      </c>
      <c r="E6" s="40" t="s">
        <v>60</v>
      </c>
    </row>
    <row r="7" spans="1:5" ht="15" customHeight="1" x14ac:dyDescent="0.3">
      <c r="A7" s="40" t="s">
        <v>61</v>
      </c>
      <c r="B7" s="40" t="s">
        <v>62</v>
      </c>
      <c r="C7" s="40" t="s">
        <v>63</v>
      </c>
      <c r="D7" s="40" t="s">
        <v>64</v>
      </c>
      <c r="E7" s="40" t="s">
        <v>65</v>
      </c>
    </row>
    <row r="8" spans="1:5" ht="15" customHeight="1" x14ac:dyDescent="0.3">
      <c r="A8" s="40" t="s">
        <v>66</v>
      </c>
      <c r="B8" s="40" t="s">
        <v>52</v>
      </c>
      <c r="C8" s="40" t="s">
        <v>67</v>
      </c>
      <c r="D8" s="40" t="s">
        <v>68</v>
      </c>
      <c r="E8" s="40" t="s">
        <v>69</v>
      </c>
    </row>
    <row r="9" spans="1:5" ht="15" customHeight="1" x14ac:dyDescent="0.3">
      <c r="A9" s="40" t="s">
        <v>70</v>
      </c>
      <c r="B9" s="40" t="s">
        <v>71</v>
      </c>
      <c r="C9" s="40" t="s">
        <v>72</v>
      </c>
      <c r="D9" s="40" t="s">
        <v>64</v>
      </c>
      <c r="E9" s="40" t="s">
        <v>73</v>
      </c>
    </row>
    <row r="10" spans="1:5" ht="15" customHeight="1" x14ac:dyDescent="0.3">
      <c r="A10" s="40" t="s">
        <v>74</v>
      </c>
      <c r="B10" s="40" t="s">
        <v>75</v>
      </c>
      <c r="C10" s="40" t="s">
        <v>76</v>
      </c>
      <c r="D10" s="40" t="s">
        <v>77</v>
      </c>
      <c r="E10" s="40" t="s">
        <v>78</v>
      </c>
    </row>
    <row r="11" spans="1:5" ht="15" customHeight="1" x14ac:dyDescent="0.3">
      <c r="A11" s="40" t="s">
        <v>79</v>
      </c>
      <c r="B11" s="40" t="s">
        <v>75</v>
      </c>
      <c r="C11" s="40" t="s">
        <v>80</v>
      </c>
      <c r="D11" s="40" t="s">
        <v>81</v>
      </c>
      <c r="E11" s="40" t="s">
        <v>82</v>
      </c>
    </row>
    <row r="12" spans="1:5" ht="15" customHeight="1" x14ac:dyDescent="0.3">
      <c r="A12" s="40" t="s">
        <v>83</v>
      </c>
      <c r="B12" s="40" t="s">
        <v>75</v>
      </c>
      <c r="C12" s="40" t="s">
        <v>84</v>
      </c>
      <c r="D12" s="40" t="s">
        <v>54</v>
      </c>
      <c r="E12" s="40" t="s">
        <v>85</v>
      </c>
    </row>
    <row r="13" spans="1:5" ht="15" customHeight="1" x14ac:dyDescent="0.3">
      <c r="A13" s="40" t="s">
        <v>86</v>
      </c>
      <c r="B13" s="40" t="s">
        <v>87</v>
      </c>
      <c r="C13" s="40" t="s">
        <v>76</v>
      </c>
      <c r="D13" s="40" t="s">
        <v>88</v>
      </c>
      <c r="E13" s="40" t="s">
        <v>89</v>
      </c>
    </row>
    <row r="14" spans="1:5" ht="15" customHeight="1" x14ac:dyDescent="0.3">
      <c r="A14" s="40" t="s">
        <v>90</v>
      </c>
      <c r="B14" s="40"/>
      <c r="C14" s="40" t="s">
        <v>91</v>
      </c>
      <c r="D14" s="40" t="s">
        <v>92</v>
      </c>
      <c r="E14" s="40">
        <v>253.32</v>
      </c>
    </row>
    <row r="15" spans="1:5" ht="15" customHeight="1" x14ac:dyDescent="0.3">
      <c r="A15" s="40" t="s">
        <v>93</v>
      </c>
      <c r="B15" s="40" t="s">
        <v>94</v>
      </c>
      <c r="C15" s="40" t="s">
        <v>95</v>
      </c>
      <c r="D15" s="40" t="s">
        <v>81</v>
      </c>
      <c r="E15" s="40" t="s">
        <v>96</v>
      </c>
    </row>
    <row r="16" spans="1:5" ht="15" customHeight="1" x14ac:dyDescent="0.3">
      <c r="A16" s="40" t="s">
        <v>97</v>
      </c>
      <c r="B16" s="40" t="s">
        <v>98</v>
      </c>
      <c r="C16" s="40" t="s">
        <v>99</v>
      </c>
      <c r="D16" s="40" t="s">
        <v>88</v>
      </c>
      <c r="E16" s="40" t="s">
        <v>100</v>
      </c>
    </row>
    <row r="17" spans="1:5" ht="15" customHeight="1" x14ac:dyDescent="0.3">
      <c r="A17" s="40" t="s">
        <v>101</v>
      </c>
      <c r="B17" s="40" t="s">
        <v>102</v>
      </c>
      <c r="C17" s="40" t="s">
        <v>103</v>
      </c>
      <c r="D17" s="40" t="s">
        <v>68</v>
      </c>
      <c r="E17" s="40" t="s">
        <v>104</v>
      </c>
    </row>
    <row r="18" spans="1:5" ht="15" customHeight="1" x14ac:dyDescent="0.3">
      <c r="A18" s="40" t="s">
        <v>105</v>
      </c>
      <c r="B18" s="40" t="s">
        <v>62</v>
      </c>
      <c r="C18" s="40" t="s">
        <v>106</v>
      </c>
      <c r="D18" s="40" t="s">
        <v>59</v>
      </c>
      <c r="E18" s="40" t="s">
        <v>107</v>
      </c>
    </row>
    <row r="19" spans="1:5" ht="15" customHeight="1" x14ac:dyDescent="0.3">
      <c r="A19" s="40" t="s">
        <v>108</v>
      </c>
      <c r="B19" s="40" t="s">
        <v>109</v>
      </c>
      <c r="C19" s="40" t="s">
        <v>110</v>
      </c>
      <c r="D19" s="40" t="s">
        <v>64</v>
      </c>
      <c r="E19" s="40" t="s">
        <v>111</v>
      </c>
    </row>
    <row r="20" spans="1:5" ht="15" customHeight="1" x14ac:dyDescent="0.3">
      <c r="A20" s="40" t="s">
        <v>112</v>
      </c>
      <c r="B20" s="40" t="s">
        <v>87</v>
      </c>
      <c r="C20" s="40" t="s">
        <v>95</v>
      </c>
      <c r="D20" s="40" t="s">
        <v>88</v>
      </c>
      <c r="E20" s="40" t="s">
        <v>113</v>
      </c>
    </row>
    <row r="21" spans="1:5" ht="15" customHeight="1" x14ac:dyDescent="0.3">
      <c r="A21" s="40" t="s">
        <v>114</v>
      </c>
      <c r="B21" s="40" t="s">
        <v>109</v>
      </c>
      <c r="C21" s="40" t="s">
        <v>115</v>
      </c>
      <c r="D21" s="40" t="s">
        <v>64</v>
      </c>
      <c r="E21" s="40" t="s">
        <v>116</v>
      </c>
    </row>
    <row r="22" spans="1:5" ht="15" customHeight="1" x14ac:dyDescent="0.3">
      <c r="A22" s="40" t="s">
        <v>117</v>
      </c>
      <c r="B22" s="40" t="s">
        <v>62</v>
      </c>
      <c r="C22" s="40" t="s">
        <v>106</v>
      </c>
      <c r="D22" s="40" t="s">
        <v>118</v>
      </c>
      <c r="E22" s="40">
        <v>366.44</v>
      </c>
    </row>
    <row r="23" spans="1:5" ht="15" customHeight="1" x14ac:dyDescent="0.3">
      <c r="A23" s="40" t="s">
        <v>119</v>
      </c>
      <c r="B23" s="40" t="s">
        <v>94</v>
      </c>
      <c r="C23" s="40" t="s">
        <v>72</v>
      </c>
      <c r="D23" s="40" t="s">
        <v>120</v>
      </c>
      <c r="E23" s="40" t="s">
        <v>121</v>
      </c>
    </row>
    <row r="24" spans="1:5" ht="15" customHeight="1" x14ac:dyDescent="0.3">
      <c r="A24" s="40" t="s">
        <v>122</v>
      </c>
      <c r="B24" s="40" t="s">
        <v>98</v>
      </c>
      <c r="C24" s="40" t="s">
        <v>72</v>
      </c>
      <c r="D24" s="40" t="s">
        <v>88</v>
      </c>
      <c r="E24" s="40" t="s">
        <v>123</v>
      </c>
    </row>
    <row r="25" spans="1:5" ht="15" customHeight="1" x14ac:dyDescent="0.3">
      <c r="A25" s="40" t="s">
        <v>97</v>
      </c>
      <c r="B25" s="40" t="s">
        <v>94</v>
      </c>
      <c r="C25" s="40" t="s">
        <v>67</v>
      </c>
      <c r="D25" s="40" t="s">
        <v>64</v>
      </c>
      <c r="E25" s="40" t="s">
        <v>124</v>
      </c>
    </row>
    <row r="26" spans="1:5" ht="15" customHeight="1" x14ac:dyDescent="0.3">
      <c r="A26" s="40" t="s">
        <v>125</v>
      </c>
      <c r="B26" s="40" t="s">
        <v>57</v>
      </c>
      <c r="C26" s="40" t="s">
        <v>126</v>
      </c>
      <c r="D26" s="40" t="s">
        <v>68</v>
      </c>
      <c r="E26" s="40" t="s">
        <v>127</v>
      </c>
    </row>
    <row r="27" spans="1:5" ht="15" customHeight="1" x14ac:dyDescent="0.3">
      <c r="A27" s="40" t="s">
        <v>128</v>
      </c>
      <c r="B27" s="40" t="s">
        <v>129</v>
      </c>
      <c r="C27" s="40" t="s">
        <v>99</v>
      </c>
      <c r="D27" s="40" t="s">
        <v>130</v>
      </c>
      <c r="E27" s="40" t="s">
        <v>131</v>
      </c>
    </row>
    <row r="28" spans="1:5" ht="15" customHeight="1" x14ac:dyDescent="0.3">
      <c r="A28" s="40" t="s">
        <v>132</v>
      </c>
      <c r="B28" s="40" t="s">
        <v>94</v>
      </c>
      <c r="C28" s="40" t="s">
        <v>133</v>
      </c>
      <c r="D28" s="40" t="s">
        <v>134</v>
      </c>
      <c r="E28" s="40">
        <v>572.04</v>
      </c>
    </row>
    <row r="30" spans="1:5" ht="15" customHeight="1" x14ac:dyDescent="0.3">
      <c r="A30" s="40" t="s">
        <v>135</v>
      </c>
      <c r="B30" s="40" t="s">
        <v>94</v>
      </c>
      <c r="C30" s="40" t="s">
        <v>67</v>
      </c>
      <c r="D30" s="40" t="s">
        <v>77</v>
      </c>
      <c r="E30" s="40" t="s">
        <v>136</v>
      </c>
    </row>
    <row r="31" spans="1:5" ht="15" customHeight="1" x14ac:dyDescent="0.3">
      <c r="A31" s="40" t="s">
        <v>137</v>
      </c>
      <c r="B31" s="40" t="s">
        <v>109</v>
      </c>
      <c r="C31" s="40" t="s">
        <v>138</v>
      </c>
      <c r="D31" s="40" t="s">
        <v>118</v>
      </c>
      <c r="E31" s="40">
        <v>125.6</v>
      </c>
    </row>
    <row r="32" spans="1:5" ht="15" customHeight="1" x14ac:dyDescent="0.3">
      <c r="A32" s="40" t="s">
        <v>139</v>
      </c>
      <c r="B32" s="40" t="s">
        <v>102</v>
      </c>
      <c r="C32" s="40" t="s">
        <v>133</v>
      </c>
      <c r="D32" s="40" t="s">
        <v>68</v>
      </c>
      <c r="E32" s="40" t="s">
        <v>140</v>
      </c>
    </row>
    <row r="33" spans="1:5" ht="15" customHeight="1" x14ac:dyDescent="0.3">
      <c r="A33" s="40" t="s">
        <v>141</v>
      </c>
      <c r="B33" s="40"/>
      <c r="C33" s="40" t="s">
        <v>142</v>
      </c>
      <c r="D33" s="40" t="s">
        <v>118</v>
      </c>
      <c r="E33" s="40" t="s">
        <v>143</v>
      </c>
    </row>
    <row r="34" spans="1:5" ht="15" customHeight="1" x14ac:dyDescent="0.3">
      <c r="A34" s="40" t="s">
        <v>144</v>
      </c>
      <c r="B34" s="40" t="s">
        <v>129</v>
      </c>
      <c r="C34" s="40" t="s">
        <v>95</v>
      </c>
      <c r="D34" s="40" t="s">
        <v>88</v>
      </c>
      <c r="E34" s="40" t="s">
        <v>145</v>
      </c>
    </row>
    <row r="35" spans="1:5" ht="15" customHeight="1" x14ac:dyDescent="0.3">
      <c r="A35" s="40" t="s">
        <v>146</v>
      </c>
      <c r="B35" s="40" t="s">
        <v>57</v>
      </c>
      <c r="C35" s="40" t="s">
        <v>115</v>
      </c>
      <c r="D35" s="40" t="s">
        <v>81</v>
      </c>
      <c r="E35" s="40" t="s">
        <v>147</v>
      </c>
    </row>
    <row r="36" spans="1:5" ht="15" customHeight="1" x14ac:dyDescent="0.3">
      <c r="A36" s="40" t="s">
        <v>122</v>
      </c>
      <c r="B36" s="40" t="s">
        <v>75</v>
      </c>
      <c r="C36" s="40" t="s">
        <v>148</v>
      </c>
      <c r="D36" s="40" t="s">
        <v>54</v>
      </c>
      <c r="E36" s="40" t="s">
        <v>149</v>
      </c>
    </row>
    <row r="37" spans="1:5" ht="15" customHeight="1" x14ac:dyDescent="0.3">
      <c r="A37" s="40" t="s">
        <v>139</v>
      </c>
      <c r="B37" s="40" t="s">
        <v>62</v>
      </c>
      <c r="C37" s="40" t="s">
        <v>150</v>
      </c>
      <c r="D37" s="40" t="s">
        <v>134</v>
      </c>
      <c r="E37" s="67">
        <v>38.380000000000003</v>
      </c>
    </row>
    <row r="38" spans="1:5" ht="15" customHeight="1" x14ac:dyDescent="0.3">
      <c r="A38" s="40" t="s">
        <v>151</v>
      </c>
      <c r="B38" s="40" t="s">
        <v>57</v>
      </c>
      <c r="C38" s="40" t="s">
        <v>152</v>
      </c>
      <c r="D38" s="40" t="s">
        <v>134</v>
      </c>
      <c r="E38" s="40" t="s">
        <v>153</v>
      </c>
    </row>
    <row r="39" spans="1:5" ht="15" customHeight="1" x14ac:dyDescent="0.3">
      <c r="A39" s="40" t="s">
        <v>154</v>
      </c>
      <c r="B39" s="40" t="s">
        <v>87</v>
      </c>
      <c r="C39" s="40" t="s">
        <v>53</v>
      </c>
      <c r="D39" s="40" t="s">
        <v>88</v>
      </c>
      <c r="E39" s="40" t="s">
        <v>155</v>
      </c>
    </row>
    <row r="40" spans="1:5" ht="15" customHeight="1" x14ac:dyDescent="0.3">
      <c r="A40" s="40" t="s">
        <v>156</v>
      </c>
      <c r="B40" s="40" t="s">
        <v>75</v>
      </c>
      <c r="C40" s="40" t="s">
        <v>157</v>
      </c>
      <c r="D40" s="40" t="s">
        <v>158</v>
      </c>
      <c r="E40" s="40" t="s">
        <v>159</v>
      </c>
    </row>
    <row r="41" spans="1:5" ht="15" customHeight="1" x14ac:dyDescent="0.3">
      <c r="A41" s="40" t="s">
        <v>160</v>
      </c>
      <c r="B41" s="40" t="s">
        <v>75</v>
      </c>
      <c r="C41" s="40" t="s">
        <v>76</v>
      </c>
      <c r="D41" s="40" t="s">
        <v>64</v>
      </c>
      <c r="E41" s="40">
        <v>473.8</v>
      </c>
    </row>
    <row r="42" spans="1:5" ht="15" customHeight="1" x14ac:dyDescent="0.3">
      <c r="A42" s="40" t="s">
        <v>161</v>
      </c>
      <c r="B42" s="40" t="s">
        <v>75</v>
      </c>
      <c r="C42" s="40" t="s">
        <v>150</v>
      </c>
      <c r="D42" s="40" t="s">
        <v>77</v>
      </c>
      <c r="E42" s="40" t="s">
        <v>162</v>
      </c>
    </row>
    <row r="43" spans="1:5" ht="15" customHeight="1" x14ac:dyDescent="0.3">
      <c r="A43" s="40" t="s">
        <v>114</v>
      </c>
      <c r="B43" s="40" t="s">
        <v>75</v>
      </c>
      <c r="C43" s="40" t="s">
        <v>142</v>
      </c>
      <c r="D43" s="40" t="s">
        <v>77</v>
      </c>
      <c r="E43" s="40" t="s">
        <v>163</v>
      </c>
    </row>
    <row r="44" spans="1:5" ht="15" customHeight="1" x14ac:dyDescent="0.3">
      <c r="A44" s="63">
        <v>46093</v>
      </c>
      <c r="B44" s="40" t="s">
        <v>62</v>
      </c>
      <c r="C44" s="40" t="s">
        <v>164</v>
      </c>
      <c r="D44" s="40" t="s">
        <v>118</v>
      </c>
      <c r="E44" s="67">
        <v>177.24</v>
      </c>
    </row>
    <row r="45" spans="1:5" ht="15" customHeight="1" x14ac:dyDescent="0.3">
      <c r="A45" s="40" t="s">
        <v>165</v>
      </c>
      <c r="B45" s="40" t="s">
        <v>62</v>
      </c>
      <c r="C45" s="40" t="s">
        <v>164</v>
      </c>
      <c r="D45" s="40" t="s">
        <v>64</v>
      </c>
      <c r="E45" s="40" t="s">
        <v>166</v>
      </c>
    </row>
    <row r="46" spans="1:5" ht="15" customHeight="1" x14ac:dyDescent="0.3">
      <c r="A46" s="40" t="s">
        <v>167</v>
      </c>
      <c r="B46" s="40" t="s">
        <v>62</v>
      </c>
      <c r="C46" s="40" t="s">
        <v>80</v>
      </c>
      <c r="D46" s="40" t="s">
        <v>64</v>
      </c>
      <c r="E46" s="40" t="s">
        <v>168</v>
      </c>
    </row>
    <row r="47" spans="1:5" ht="15" customHeight="1" x14ac:dyDescent="0.3">
      <c r="A47" s="40" t="s">
        <v>169</v>
      </c>
      <c r="B47" s="40" t="s">
        <v>62</v>
      </c>
      <c r="C47" s="40" t="s">
        <v>170</v>
      </c>
      <c r="D47" s="40" t="s">
        <v>134</v>
      </c>
      <c r="E47" s="40" t="s">
        <v>171</v>
      </c>
    </row>
    <row r="48" spans="1:5" ht="15" customHeight="1" x14ac:dyDescent="0.3">
      <c r="A48" s="40" t="s">
        <v>172</v>
      </c>
      <c r="B48" s="40" t="s">
        <v>109</v>
      </c>
      <c r="C48" s="40" t="s">
        <v>91</v>
      </c>
      <c r="D48" s="40" t="s">
        <v>134</v>
      </c>
      <c r="E48" s="40" t="s">
        <v>173</v>
      </c>
    </row>
    <row r="49" spans="1:5" ht="15" customHeight="1" x14ac:dyDescent="0.3">
      <c r="A49" s="40" t="s">
        <v>154</v>
      </c>
      <c r="B49" s="40" t="s">
        <v>57</v>
      </c>
      <c r="C49" s="40" t="s">
        <v>174</v>
      </c>
      <c r="D49" s="40" t="s">
        <v>68</v>
      </c>
      <c r="E49" s="40">
        <v>364.54</v>
      </c>
    </row>
    <row r="50" spans="1:5" ht="15" customHeight="1" x14ac:dyDescent="0.3">
      <c r="A50" s="40" t="s">
        <v>97</v>
      </c>
      <c r="B50" s="40" t="s">
        <v>62</v>
      </c>
      <c r="C50" s="40" t="s">
        <v>174</v>
      </c>
      <c r="D50" s="40" t="s">
        <v>81</v>
      </c>
      <c r="E50" s="40" t="s">
        <v>175</v>
      </c>
    </row>
    <row r="51" spans="1:5" ht="15" customHeight="1" x14ac:dyDescent="0.3">
      <c r="A51" s="40" t="s">
        <v>79</v>
      </c>
      <c r="B51" s="40" t="s">
        <v>109</v>
      </c>
      <c r="C51" s="40" t="s">
        <v>72</v>
      </c>
      <c r="D51" s="40" t="s">
        <v>68</v>
      </c>
      <c r="E51" s="40" t="s">
        <v>176</v>
      </c>
    </row>
    <row r="52" spans="1:5" ht="15" customHeight="1" x14ac:dyDescent="0.3">
      <c r="A52" s="40" t="s">
        <v>177</v>
      </c>
      <c r="B52" s="40" t="s">
        <v>87</v>
      </c>
      <c r="C52" s="40" t="s">
        <v>99</v>
      </c>
      <c r="D52" s="40" t="s">
        <v>88</v>
      </c>
      <c r="E52" s="40" t="s">
        <v>178</v>
      </c>
    </row>
    <row r="53" spans="1:5" ht="15" customHeight="1" x14ac:dyDescent="0.3">
      <c r="A53" s="40" t="s">
        <v>83</v>
      </c>
      <c r="B53" s="40" t="s">
        <v>57</v>
      </c>
      <c r="C53" s="40" t="s">
        <v>179</v>
      </c>
      <c r="D53" s="40" t="s">
        <v>68</v>
      </c>
      <c r="E53" s="40" t="s">
        <v>180</v>
      </c>
    </row>
    <row r="54" spans="1:5" ht="15" customHeight="1" x14ac:dyDescent="0.3">
      <c r="A54" s="40" t="s">
        <v>97</v>
      </c>
      <c r="B54" s="40" t="s">
        <v>94</v>
      </c>
      <c r="C54" s="40" t="s">
        <v>72</v>
      </c>
      <c r="D54" s="40" t="s">
        <v>59</v>
      </c>
      <c r="E54" s="40" t="s">
        <v>181</v>
      </c>
    </row>
    <row r="55" spans="1:5" ht="15" customHeight="1" x14ac:dyDescent="0.3">
      <c r="A55" s="40" t="s">
        <v>182</v>
      </c>
      <c r="B55" s="40" t="s">
        <v>109</v>
      </c>
      <c r="C55" s="40" t="s">
        <v>150</v>
      </c>
      <c r="D55" s="40" t="s">
        <v>54</v>
      </c>
      <c r="E55" s="40" t="s">
        <v>183</v>
      </c>
    </row>
    <row r="56" spans="1:5" ht="15" customHeight="1" x14ac:dyDescent="0.3">
      <c r="A56" s="40" t="s">
        <v>184</v>
      </c>
      <c r="B56" s="40" t="s">
        <v>102</v>
      </c>
      <c r="C56" s="40" t="s">
        <v>103</v>
      </c>
      <c r="D56" s="40" t="s">
        <v>81</v>
      </c>
      <c r="E56" s="40" t="s">
        <v>185</v>
      </c>
    </row>
    <row r="57" spans="1:5" ht="15" customHeight="1" x14ac:dyDescent="0.3">
      <c r="A57" s="40" t="s">
        <v>186</v>
      </c>
      <c r="B57" s="40" t="s">
        <v>75</v>
      </c>
      <c r="C57" s="40" t="s">
        <v>115</v>
      </c>
      <c r="D57" s="40" t="s">
        <v>64</v>
      </c>
      <c r="E57" s="40" t="s">
        <v>187</v>
      </c>
    </row>
    <row r="58" spans="1:5" ht="15" customHeight="1" x14ac:dyDescent="0.3">
      <c r="A58" s="40" t="s">
        <v>188</v>
      </c>
      <c r="B58" s="40"/>
      <c r="C58" s="40" t="s">
        <v>58</v>
      </c>
      <c r="D58" s="40" t="s">
        <v>68</v>
      </c>
      <c r="E58" s="40">
        <v>59.88</v>
      </c>
    </row>
    <row r="59" spans="1:5" ht="15" customHeight="1" x14ac:dyDescent="0.3">
      <c r="A59" s="40" t="s">
        <v>189</v>
      </c>
      <c r="B59" s="40" t="s">
        <v>71</v>
      </c>
      <c r="C59" s="40" t="s">
        <v>76</v>
      </c>
      <c r="D59" s="40" t="s">
        <v>64</v>
      </c>
      <c r="E59" s="40" t="s">
        <v>190</v>
      </c>
    </row>
    <row r="60" spans="1:5" ht="15" customHeight="1" x14ac:dyDescent="0.3">
      <c r="A60" s="40" t="s">
        <v>191</v>
      </c>
      <c r="B60" s="40" t="s">
        <v>75</v>
      </c>
      <c r="C60" s="40" t="s">
        <v>150</v>
      </c>
      <c r="D60" s="40" t="s">
        <v>118</v>
      </c>
      <c r="E60" s="40" t="s">
        <v>192</v>
      </c>
    </row>
    <row r="61" spans="1:5" ht="15" customHeight="1" x14ac:dyDescent="0.3">
      <c r="A61" s="40" t="s">
        <v>193</v>
      </c>
      <c r="B61" s="40" t="s">
        <v>94</v>
      </c>
      <c r="C61" s="40" t="s">
        <v>99</v>
      </c>
      <c r="D61" s="40" t="s">
        <v>194</v>
      </c>
      <c r="E61" s="40" t="s">
        <v>195</v>
      </c>
    </row>
    <row r="62" spans="1:5" ht="15" customHeight="1" x14ac:dyDescent="0.3">
      <c r="A62" s="40" t="s">
        <v>196</v>
      </c>
      <c r="B62" s="40" t="s">
        <v>62</v>
      </c>
      <c r="C62" s="40" t="s">
        <v>197</v>
      </c>
      <c r="D62" s="40" t="s">
        <v>77</v>
      </c>
      <c r="E62" s="40" t="s">
        <v>198</v>
      </c>
    </row>
    <row r="63" spans="1:5" ht="15" customHeight="1" x14ac:dyDescent="0.3">
      <c r="A63" s="40" t="s">
        <v>199</v>
      </c>
      <c r="B63" s="40" t="s">
        <v>102</v>
      </c>
      <c r="C63" s="40" t="s">
        <v>103</v>
      </c>
      <c r="D63" s="40" t="s">
        <v>158</v>
      </c>
      <c r="E63" s="40">
        <v>331.31</v>
      </c>
    </row>
    <row r="64" spans="1:5" ht="15" customHeight="1" x14ac:dyDescent="0.3"/>
    <row r="65" spans="1:5" ht="15" customHeight="1" x14ac:dyDescent="0.3">
      <c r="A65" s="40" t="s">
        <v>177</v>
      </c>
      <c r="B65" s="40" t="s">
        <v>87</v>
      </c>
      <c r="C65" s="40" t="s">
        <v>99</v>
      </c>
      <c r="D65" s="40" t="s">
        <v>88</v>
      </c>
      <c r="E65" s="40" t="s">
        <v>178</v>
      </c>
    </row>
    <row r="66" spans="1:5" ht="15" customHeight="1" x14ac:dyDescent="0.3">
      <c r="A66" s="40" t="s">
        <v>200</v>
      </c>
      <c r="B66" s="40" t="s">
        <v>109</v>
      </c>
      <c r="C66" s="40" t="s">
        <v>91</v>
      </c>
      <c r="D66" s="40" t="s">
        <v>92</v>
      </c>
      <c r="E66" s="40">
        <v>253.32</v>
      </c>
    </row>
    <row r="67" spans="1:5" ht="15" customHeight="1" x14ac:dyDescent="0.3">
      <c r="A67" s="40" t="s">
        <v>201</v>
      </c>
      <c r="B67" s="40" t="s">
        <v>109</v>
      </c>
      <c r="C67" s="40" t="s">
        <v>202</v>
      </c>
      <c r="D67" s="40" t="s">
        <v>203</v>
      </c>
      <c r="E67" s="40" t="s">
        <v>204</v>
      </c>
    </row>
    <row r="68" spans="1:5" ht="15" customHeight="1" x14ac:dyDescent="0.3">
      <c r="A68" s="63">
        <v>46085</v>
      </c>
      <c r="B68" s="40" t="s">
        <v>62</v>
      </c>
      <c r="C68" s="40" t="s">
        <v>205</v>
      </c>
      <c r="D68" s="40" t="s">
        <v>206</v>
      </c>
      <c r="E68" s="40" t="s">
        <v>207</v>
      </c>
    </row>
    <row r="69" spans="1:5" ht="15" customHeight="1" x14ac:dyDescent="0.3">
      <c r="A69" s="40" t="s">
        <v>137</v>
      </c>
      <c r="B69" s="40" t="s">
        <v>94</v>
      </c>
      <c r="C69" s="40" t="s">
        <v>208</v>
      </c>
      <c r="D69" s="40" t="s">
        <v>209</v>
      </c>
      <c r="E69" s="40" t="s">
        <v>210</v>
      </c>
    </row>
    <row r="70" spans="1:5" ht="15" customHeight="1" x14ac:dyDescent="0.3">
      <c r="A70" s="40" t="s">
        <v>211</v>
      </c>
      <c r="B70" s="40" t="s">
        <v>109</v>
      </c>
      <c r="C70" s="40" t="s">
        <v>212</v>
      </c>
      <c r="D70" s="40" t="s">
        <v>213</v>
      </c>
      <c r="E70" s="40" t="s">
        <v>214</v>
      </c>
    </row>
    <row r="71" spans="1:5" ht="15" customHeight="1" x14ac:dyDescent="0.3">
      <c r="A71" s="40" t="s">
        <v>215</v>
      </c>
      <c r="B71" s="40" t="s">
        <v>75</v>
      </c>
      <c r="C71" s="40" t="s">
        <v>216</v>
      </c>
      <c r="D71" s="40" t="s">
        <v>158</v>
      </c>
      <c r="E71" s="40" t="s">
        <v>217</v>
      </c>
    </row>
    <row r="72" spans="1:5" ht="15" customHeight="1" x14ac:dyDescent="0.3">
      <c r="A72" s="40" t="s">
        <v>218</v>
      </c>
      <c r="B72" s="40" t="s">
        <v>98</v>
      </c>
      <c r="C72" s="40" t="s">
        <v>219</v>
      </c>
      <c r="D72" s="40" t="s">
        <v>88</v>
      </c>
      <c r="E72" s="40" t="s">
        <v>220</v>
      </c>
    </row>
    <row r="73" spans="1:5" ht="15" customHeight="1" x14ac:dyDescent="0.3">
      <c r="A73" s="40" t="s">
        <v>221</v>
      </c>
      <c r="B73" s="40" t="s">
        <v>94</v>
      </c>
      <c r="C73" s="40" t="s">
        <v>222</v>
      </c>
      <c r="D73" s="40" t="s">
        <v>223</v>
      </c>
      <c r="E73" s="40" t="s">
        <v>224</v>
      </c>
    </row>
    <row r="74" spans="1:5" ht="15" customHeight="1" x14ac:dyDescent="0.3">
      <c r="A74" s="40" t="s">
        <v>191</v>
      </c>
      <c r="B74" s="40" t="s">
        <v>225</v>
      </c>
      <c r="C74" s="40" t="s">
        <v>76</v>
      </c>
      <c r="D74" s="40" t="s">
        <v>226</v>
      </c>
      <c r="E74" s="40" t="s">
        <v>227</v>
      </c>
    </row>
    <row r="75" spans="1:5" ht="15" customHeight="1" x14ac:dyDescent="0.3">
      <c r="A75" s="40" t="s">
        <v>86</v>
      </c>
      <c r="B75" s="40" t="s">
        <v>109</v>
      </c>
      <c r="C75" s="40" t="s">
        <v>179</v>
      </c>
      <c r="D75" s="40" t="s">
        <v>228</v>
      </c>
      <c r="E75" s="40" t="s">
        <v>229</v>
      </c>
    </row>
    <row r="76" spans="1:5" ht="15" customHeight="1" x14ac:dyDescent="0.3">
      <c r="A76" s="40" t="s">
        <v>230</v>
      </c>
      <c r="B76" s="40" t="s">
        <v>71</v>
      </c>
      <c r="C76" s="40" t="s">
        <v>106</v>
      </c>
      <c r="D76" s="40" t="s">
        <v>77</v>
      </c>
      <c r="E76" s="40" t="s">
        <v>231</v>
      </c>
    </row>
    <row r="77" spans="1:5" ht="15" customHeight="1" x14ac:dyDescent="0.3">
      <c r="A77" s="40" t="s">
        <v>232</v>
      </c>
      <c r="B77" s="40" t="s">
        <v>94</v>
      </c>
      <c r="C77" s="40" t="s">
        <v>92</v>
      </c>
      <c r="D77" s="40" t="s">
        <v>95</v>
      </c>
      <c r="E77" s="40" t="s">
        <v>233</v>
      </c>
    </row>
    <row r="78" spans="1:5" ht="15" customHeight="1" x14ac:dyDescent="0.3">
      <c r="A78" s="40" t="s">
        <v>186</v>
      </c>
      <c r="B78" s="40" t="s">
        <v>94</v>
      </c>
      <c r="C78" s="40" t="s">
        <v>68</v>
      </c>
      <c r="D78" s="40" t="s">
        <v>72</v>
      </c>
      <c r="E78" s="40" t="s">
        <v>234</v>
      </c>
    </row>
    <row r="79" spans="1:5" ht="15" customHeight="1" x14ac:dyDescent="0.3">
      <c r="A79" s="40" t="s">
        <v>235</v>
      </c>
      <c r="B79" s="40" t="s">
        <v>109</v>
      </c>
      <c r="C79" s="40" t="s">
        <v>134</v>
      </c>
      <c r="D79" s="40" t="s">
        <v>53</v>
      </c>
      <c r="E79" s="40" t="s">
        <v>236</v>
      </c>
    </row>
    <row r="80" spans="1:5" ht="15" customHeight="1" x14ac:dyDescent="0.3">
      <c r="A80" s="40" t="s">
        <v>165</v>
      </c>
      <c r="B80" s="40" t="s">
        <v>94</v>
      </c>
      <c r="C80" s="40" t="s">
        <v>64</v>
      </c>
      <c r="D80" s="40" t="s">
        <v>67</v>
      </c>
      <c r="E80" s="40" t="s">
        <v>237</v>
      </c>
    </row>
    <row r="81" spans="1:5" ht="15" customHeight="1" x14ac:dyDescent="0.3">
      <c r="A81" s="40" t="s">
        <v>182</v>
      </c>
      <c r="B81" s="40" t="s">
        <v>109</v>
      </c>
      <c r="C81" s="40" t="s">
        <v>81</v>
      </c>
      <c r="D81" s="40" t="s">
        <v>99</v>
      </c>
      <c r="E81" s="40">
        <v>101.15</v>
      </c>
    </row>
    <row r="82" spans="1:5" ht="15" customHeight="1" x14ac:dyDescent="0.3">
      <c r="A82" s="40" t="s">
        <v>101</v>
      </c>
      <c r="B82" s="40" t="s">
        <v>109</v>
      </c>
      <c r="C82" s="40" t="s">
        <v>238</v>
      </c>
      <c r="D82" s="40" t="s">
        <v>59</v>
      </c>
      <c r="E82" s="40" t="s">
        <v>239</v>
      </c>
    </row>
    <row r="83" spans="1:5" ht="15" customHeight="1" x14ac:dyDescent="0.3">
      <c r="A83" s="40" t="s">
        <v>79</v>
      </c>
      <c r="B83" s="40" t="s">
        <v>75</v>
      </c>
      <c r="C83" s="40" t="s">
        <v>238</v>
      </c>
      <c r="D83" s="40" t="s">
        <v>118</v>
      </c>
      <c r="E83" s="40" t="s">
        <v>240</v>
      </c>
    </row>
    <row r="84" spans="1:5" ht="15" customHeight="1" x14ac:dyDescent="0.3">
      <c r="A84" s="40" t="s">
        <v>241</v>
      </c>
      <c r="B84" s="40" t="s">
        <v>94</v>
      </c>
      <c r="C84" s="40" t="s">
        <v>63</v>
      </c>
      <c r="D84" s="40" t="s">
        <v>242</v>
      </c>
      <c r="E84" s="40" t="s">
        <v>243</v>
      </c>
    </row>
    <row r="85" spans="1:5" ht="15" customHeight="1" x14ac:dyDescent="0.3">
      <c r="A85" s="40" t="s">
        <v>160</v>
      </c>
      <c r="B85" s="40" t="s">
        <v>62</v>
      </c>
      <c r="C85" s="40" t="s">
        <v>244</v>
      </c>
      <c r="D85" s="40" t="s">
        <v>158</v>
      </c>
      <c r="E85" s="40" t="s">
        <v>245</v>
      </c>
    </row>
    <row r="86" spans="1:5" ht="15" customHeight="1" x14ac:dyDescent="0.3">
      <c r="A86" s="40" t="s">
        <v>246</v>
      </c>
      <c r="B86" s="40" t="s">
        <v>98</v>
      </c>
      <c r="C86" s="40" t="s">
        <v>103</v>
      </c>
      <c r="D86" s="40" t="s">
        <v>247</v>
      </c>
      <c r="E86" s="40" t="s">
        <v>210</v>
      </c>
    </row>
    <row r="87" spans="1:5" ht="15" customHeight="1" x14ac:dyDescent="0.3">
      <c r="A87" s="40" t="s">
        <v>93</v>
      </c>
      <c r="B87" s="40" t="s">
        <v>109</v>
      </c>
      <c r="C87" s="40" t="s">
        <v>170</v>
      </c>
      <c r="D87" s="40" t="s">
        <v>248</v>
      </c>
      <c r="E87" s="40" t="s">
        <v>249</v>
      </c>
    </row>
    <row r="88" spans="1:5" ht="15" customHeight="1" x14ac:dyDescent="0.3">
      <c r="A88" s="40" t="s">
        <v>112</v>
      </c>
      <c r="B88" s="40" t="s">
        <v>71</v>
      </c>
      <c r="C88" s="40" t="s">
        <v>138</v>
      </c>
      <c r="D88" s="40" t="s">
        <v>250</v>
      </c>
      <c r="E88" s="40" t="s">
        <v>251</v>
      </c>
    </row>
    <row r="89" spans="1:5" ht="15" customHeight="1" x14ac:dyDescent="0.3">
      <c r="A89" s="40" t="s">
        <v>97</v>
      </c>
      <c r="B89" s="40" t="s">
        <v>109</v>
      </c>
      <c r="C89" s="40" t="s">
        <v>80</v>
      </c>
      <c r="D89" s="40" t="s">
        <v>92</v>
      </c>
      <c r="E89" s="40">
        <v>118.6</v>
      </c>
    </row>
    <row r="90" spans="1:5" ht="15" customHeight="1" x14ac:dyDescent="0.3">
      <c r="A90" s="40" t="s">
        <v>252</v>
      </c>
      <c r="B90" s="40"/>
      <c r="C90" s="40" t="s">
        <v>58</v>
      </c>
      <c r="D90" s="40" t="s">
        <v>92</v>
      </c>
      <c r="E90" s="40" t="s">
        <v>253</v>
      </c>
    </row>
    <row r="91" spans="1:5" ht="15" customHeight="1" x14ac:dyDescent="0.3">
      <c r="A91" s="40" t="s">
        <v>254</v>
      </c>
      <c r="B91" s="40" t="s">
        <v>225</v>
      </c>
      <c r="C91" s="40" t="s">
        <v>255</v>
      </c>
      <c r="D91" s="40" t="s">
        <v>81</v>
      </c>
      <c r="E91" s="40" t="s">
        <v>256</v>
      </c>
    </row>
    <row r="92" spans="1:5" ht="15" customHeight="1" x14ac:dyDescent="0.3">
      <c r="A92" s="40" t="s">
        <v>151</v>
      </c>
      <c r="B92" s="40" t="s">
        <v>94</v>
      </c>
      <c r="C92" s="40" t="s">
        <v>67</v>
      </c>
      <c r="D92" s="40" t="s">
        <v>68</v>
      </c>
      <c r="E92" s="40" t="s">
        <v>257</v>
      </c>
    </row>
    <row r="93" spans="1:5" ht="14.25" customHeight="1" x14ac:dyDescent="0.3">
      <c r="A93" s="40" t="s">
        <v>193</v>
      </c>
      <c r="B93" s="40" t="s">
        <v>109</v>
      </c>
      <c r="C93" s="40" t="s">
        <v>53</v>
      </c>
      <c r="D93" s="40" t="s">
        <v>54</v>
      </c>
      <c r="E93" s="40" t="s">
        <v>258</v>
      </c>
    </row>
    <row r="95" spans="1:5" ht="15" customHeight="1" x14ac:dyDescent="0.3"/>
    <row r="96" spans="1:5" ht="15" customHeight="1" x14ac:dyDescent="0.3">
      <c r="A96" s="66" t="s">
        <v>259</v>
      </c>
    </row>
    <row r="97" spans="1:5" ht="15" customHeight="1" x14ac:dyDescent="0.3">
      <c r="A97" s="13" t="s">
        <v>46</v>
      </c>
      <c r="B97" s="13" t="s">
        <v>260</v>
      </c>
      <c r="C97" s="13" t="s">
        <v>261</v>
      </c>
      <c r="D97" s="13" t="s">
        <v>262</v>
      </c>
      <c r="E97" s="13" t="s">
        <v>50</v>
      </c>
    </row>
    <row r="98" spans="1:5" ht="15" customHeight="1" x14ac:dyDescent="0.3">
      <c r="A98" s="40" t="s">
        <v>199</v>
      </c>
      <c r="B98" s="40" t="s">
        <v>263</v>
      </c>
      <c r="C98" s="40" t="s">
        <v>264</v>
      </c>
      <c r="D98" s="40" t="s">
        <v>265</v>
      </c>
      <c r="E98" s="40" t="s">
        <v>266</v>
      </c>
    </row>
    <row r="99" spans="1:5" ht="15" customHeight="1" x14ac:dyDescent="0.3">
      <c r="A99" s="40" t="s">
        <v>267</v>
      </c>
      <c r="B99" s="40" t="s">
        <v>268</v>
      </c>
      <c r="C99" s="40" t="s">
        <v>269</v>
      </c>
      <c r="D99" s="40" t="s">
        <v>264</v>
      </c>
      <c r="E99" s="40" t="s">
        <v>270</v>
      </c>
    </row>
    <row r="100" spans="1:5" ht="15" customHeight="1" x14ac:dyDescent="0.3">
      <c r="A100" s="40" t="s">
        <v>271</v>
      </c>
      <c r="B100" s="40" t="s">
        <v>263</v>
      </c>
      <c r="C100" s="40" t="s">
        <v>265</v>
      </c>
      <c r="D100" s="40" t="s">
        <v>264</v>
      </c>
      <c r="E100" s="40" t="s">
        <v>272</v>
      </c>
    </row>
    <row r="101" spans="1:5" ht="15" customHeight="1" x14ac:dyDescent="0.3">
      <c r="A101" s="40" t="s">
        <v>139</v>
      </c>
      <c r="B101" s="40" t="s">
        <v>273</v>
      </c>
      <c r="C101" s="40" t="s">
        <v>273</v>
      </c>
      <c r="D101" s="40" t="s">
        <v>274</v>
      </c>
      <c r="E101" s="40" t="s">
        <v>275</v>
      </c>
    </row>
    <row r="102" spans="1:5" ht="15" customHeight="1" x14ac:dyDescent="0.3">
      <c r="A102" s="40" t="s">
        <v>139</v>
      </c>
      <c r="B102" s="40" t="s">
        <v>276</v>
      </c>
      <c r="C102" s="40" t="s">
        <v>277</v>
      </c>
      <c r="D102" s="40" t="s">
        <v>264</v>
      </c>
      <c r="E102" s="40" t="s">
        <v>278</v>
      </c>
    </row>
    <row r="103" spans="1:5" ht="15" customHeight="1" x14ac:dyDescent="0.3">
      <c r="A103" s="68">
        <v>46093</v>
      </c>
      <c r="B103" s="40" t="s">
        <v>268</v>
      </c>
      <c r="C103" s="40" t="s">
        <v>15</v>
      </c>
      <c r="D103" s="40" t="s">
        <v>264</v>
      </c>
      <c r="E103" s="40" t="s">
        <v>279</v>
      </c>
    </row>
    <row r="104" spans="1:5" ht="15" customHeight="1" x14ac:dyDescent="0.3">
      <c r="A104" s="40" t="s">
        <v>196</v>
      </c>
      <c r="B104" s="40" t="s">
        <v>280</v>
      </c>
      <c r="C104" s="40" t="s">
        <v>281</v>
      </c>
      <c r="D104" s="40" t="s">
        <v>274</v>
      </c>
      <c r="E104" s="40" t="s">
        <v>282</v>
      </c>
    </row>
    <row r="105" spans="1:5" ht="15" customHeight="1" x14ac:dyDescent="0.3">
      <c r="A105" s="40" t="s">
        <v>112</v>
      </c>
      <c r="B105" s="40" t="s">
        <v>283</v>
      </c>
      <c r="C105" s="40" t="s">
        <v>284</v>
      </c>
      <c r="D105" s="40" t="s">
        <v>274</v>
      </c>
      <c r="E105" s="40">
        <v>198.75</v>
      </c>
    </row>
    <row r="106" spans="1:5" ht="15" customHeight="1" x14ac:dyDescent="0.3">
      <c r="A106" s="40" t="s">
        <v>246</v>
      </c>
      <c r="B106" s="40" t="s">
        <v>285</v>
      </c>
      <c r="C106" s="40"/>
      <c r="D106" s="40" t="s">
        <v>52</v>
      </c>
      <c r="E106" s="40" t="s">
        <v>286</v>
      </c>
    </row>
    <row r="107" spans="1:5" ht="15" customHeight="1" x14ac:dyDescent="0.3">
      <c r="A107" s="40" t="s">
        <v>70</v>
      </c>
      <c r="B107" s="40" t="s">
        <v>287</v>
      </c>
      <c r="C107" s="40" t="s">
        <v>274</v>
      </c>
      <c r="D107" s="40" t="s">
        <v>277</v>
      </c>
      <c r="E107" s="40">
        <v>260</v>
      </c>
    </row>
    <row r="108" spans="1:5" ht="15" customHeight="1" x14ac:dyDescent="0.3">
      <c r="A108" s="40" t="s">
        <v>288</v>
      </c>
      <c r="B108" s="40" t="s">
        <v>268</v>
      </c>
      <c r="C108" s="40" t="s">
        <v>15</v>
      </c>
      <c r="D108" s="40" t="s">
        <v>52</v>
      </c>
      <c r="E108" s="40" t="s">
        <v>289</v>
      </c>
    </row>
    <row r="109" spans="1:5" ht="15" customHeight="1" x14ac:dyDescent="0.3">
      <c r="A109" s="40" t="s">
        <v>290</v>
      </c>
      <c r="B109" s="40" t="s">
        <v>268</v>
      </c>
      <c r="C109" s="40" t="s">
        <v>291</v>
      </c>
      <c r="D109" s="40" t="s">
        <v>264</v>
      </c>
      <c r="E109" s="40">
        <v>122.75</v>
      </c>
    </row>
    <row r="110" spans="1:5" ht="15" customHeight="1" x14ac:dyDescent="0.3">
      <c r="A110" s="40" t="s">
        <v>232</v>
      </c>
      <c r="B110" s="40" t="s">
        <v>287</v>
      </c>
      <c r="C110" s="40" t="s">
        <v>277</v>
      </c>
      <c r="D110" s="40" t="s">
        <v>264</v>
      </c>
      <c r="E110" s="40" t="s">
        <v>292</v>
      </c>
    </row>
    <row r="111" spans="1:5" ht="15" customHeight="1" x14ac:dyDescent="0.3">
      <c r="A111" s="40" t="s">
        <v>293</v>
      </c>
      <c r="B111" s="40" t="s">
        <v>294</v>
      </c>
      <c r="C111" s="40" t="s">
        <v>295</v>
      </c>
      <c r="D111" s="40" t="s">
        <v>274</v>
      </c>
      <c r="E111" s="40" t="s">
        <v>296</v>
      </c>
    </row>
    <row r="112" spans="1:5" ht="15" customHeight="1" x14ac:dyDescent="0.3">
      <c r="A112" s="40" t="s">
        <v>297</v>
      </c>
      <c r="B112" s="40" t="s">
        <v>298</v>
      </c>
      <c r="C112" s="40" t="s">
        <v>15</v>
      </c>
      <c r="D112" s="40" t="s">
        <v>264</v>
      </c>
      <c r="E112" s="40" t="s">
        <v>299</v>
      </c>
    </row>
    <row r="113" spans="1:5" ht="15" customHeight="1" x14ac:dyDescent="0.3"/>
    <row r="114" spans="1:5" ht="15" customHeight="1" x14ac:dyDescent="0.3">
      <c r="A114" s="40" t="s">
        <v>182</v>
      </c>
      <c r="B114" s="40" t="s">
        <v>300</v>
      </c>
      <c r="C114" s="40" t="s">
        <v>301</v>
      </c>
      <c r="D114" s="40" t="s">
        <v>52</v>
      </c>
      <c r="E114" s="40" t="s">
        <v>302</v>
      </c>
    </row>
    <row r="115" spans="1:5" ht="15" customHeight="1" x14ac:dyDescent="0.3">
      <c r="A115" s="40" t="s">
        <v>117</v>
      </c>
      <c r="B115" s="40" t="s">
        <v>303</v>
      </c>
      <c r="C115" s="40" t="s">
        <v>304</v>
      </c>
      <c r="D115" s="40" t="s">
        <v>274</v>
      </c>
      <c r="E115" s="40" t="s">
        <v>305</v>
      </c>
    </row>
    <row r="116" spans="1:5" ht="15" customHeight="1" x14ac:dyDescent="0.3">
      <c r="A116" s="40" t="s">
        <v>306</v>
      </c>
      <c r="B116" s="40" t="s">
        <v>276</v>
      </c>
      <c r="C116" s="40" t="s">
        <v>277</v>
      </c>
      <c r="D116" s="40" t="s">
        <v>264</v>
      </c>
      <c r="E116" s="40" t="s">
        <v>307</v>
      </c>
    </row>
    <row r="117" spans="1:5" ht="15" customHeight="1" x14ac:dyDescent="0.3">
      <c r="A117" s="40" t="s">
        <v>79</v>
      </c>
      <c r="B117" s="40" t="s">
        <v>308</v>
      </c>
      <c r="C117" s="40"/>
      <c r="D117" s="40" t="s">
        <v>274</v>
      </c>
      <c r="E117" s="40" t="s">
        <v>309</v>
      </c>
    </row>
    <row r="118" spans="1:5" ht="15" customHeight="1" x14ac:dyDescent="0.3">
      <c r="A118" s="40" t="s">
        <v>160</v>
      </c>
      <c r="B118" s="40" t="s">
        <v>310</v>
      </c>
      <c r="C118" s="40" t="s">
        <v>311</v>
      </c>
      <c r="D118" s="40" t="s">
        <v>274</v>
      </c>
      <c r="E118" s="40" t="s">
        <v>312</v>
      </c>
    </row>
    <row r="119" spans="1:5" ht="15" customHeight="1" x14ac:dyDescent="0.3">
      <c r="A119" s="40" t="s">
        <v>218</v>
      </c>
      <c r="B119" s="40" t="s">
        <v>263</v>
      </c>
      <c r="C119" s="40" t="s">
        <v>313</v>
      </c>
      <c r="D119" s="40" t="s">
        <v>264</v>
      </c>
      <c r="E119" s="40" t="s">
        <v>314</v>
      </c>
    </row>
    <row r="120" spans="1:5" ht="15" customHeight="1" x14ac:dyDescent="0.3">
      <c r="A120" s="40" t="s">
        <v>230</v>
      </c>
      <c r="B120" s="40" t="s">
        <v>310</v>
      </c>
      <c r="C120" s="40" t="s">
        <v>315</v>
      </c>
      <c r="D120" s="40" t="s">
        <v>274</v>
      </c>
      <c r="E120" s="40" t="s">
        <v>312</v>
      </c>
    </row>
    <row r="121" spans="1:5" ht="15" customHeight="1" x14ac:dyDescent="0.3">
      <c r="A121" s="40" t="s">
        <v>316</v>
      </c>
      <c r="B121" s="40" t="s">
        <v>268</v>
      </c>
      <c r="C121" s="40" t="s">
        <v>15</v>
      </c>
      <c r="D121" s="40" t="s">
        <v>264</v>
      </c>
      <c r="E121" s="40" t="s">
        <v>317</v>
      </c>
    </row>
    <row r="122" spans="1:5" ht="15" customHeight="1" x14ac:dyDescent="0.3">
      <c r="A122" s="40" t="s">
        <v>146</v>
      </c>
      <c r="B122" s="40" t="s">
        <v>318</v>
      </c>
      <c r="C122" s="40" t="s">
        <v>319</v>
      </c>
      <c r="D122" s="40" t="s">
        <v>320</v>
      </c>
      <c r="E122" s="40" t="s">
        <v>296</v>
      </c>
    </row>
    <row r="123" spans="1:5" ht="15" customHeight="1" x14ac:dyDescent="0.3">
      <c r="A123" s="40" t="s">
        <v>135</v>
      </c>
      <c r="B123" s="40" t="s">
        <v>283</v>
      </c>
      <c r="C123" s="40" t="s">
        <v>284</v>
      </c>
      <c r="D123" s="40" t="s">
        <v>52</v>
      </c>
      <c r="E123" s="40" t="s">
        <v>321</v>
      </c>
    </row>
    <row r="124" spans="1:5" ht="15" customHeight="1" x14ac:dyDescent="0.3">
      <c r="A124" s="40" t="s">
        <v>177</v>
      </c>
      <c r="B124" s="40" t="s">
        <v>263</v>
      </c>
      <c r="C124" s="40" t="s">
        <v>265</v>
      </c>
      <c r="D124" s="40" t="s">
        <v>264</v>
      </c>
      <c r="E124" s="40" t="s">
        <v>322</v>
      </c>
    </row>
    <row r="125" spans="1:5" ht="15" customHeight="1" x14ac:dyDescent="0.3">
      <c r="A125" s="40" t="s">
        <v>108</v>
      </c>
      <c r="B125" s="40" t="s">
        <v>323</v>
      </c>
      <c r="C125" s="40"/>
      <c r="D125" s="40" t="s">
        <v>52</v>
      </c>
      <c r="E125" s="40" t="s">
        <v>324</v>
      </c>
    </row>
    <row r="126" spans="1:5" ht="15" customHeight="1" x14ac:dyDescent="0.3">
      <c r="A126" s="40" t="s">
        <v>215</v>
      </c>
      <c r="B126" s="40" t="s">
        <v>283</v>
      </c>
      <c r="C126" s="40" t="s">
        <v>325</v>
      </c>
      <c r="D126" s="40" t="s">
        <v>320</v>
      </c>
      <c r="E126" s="40" t="s">
        <v>326</v>
      </c>
    </row>
    <row r="127" spans="1:5" ht="15" customHeight="1" x14ac:dyDescent="0.3">
      <c r="A127" s="40" t="s">
        <v>327</v>
      </c>
      <c r="B127" s="40" t="s">
        <v>328</v>
      </c>
      <c r="C127" s="40" t="s">
        <v>277</v>
      </c>
      <c r="D127" s="40" t="s">
        <v>329</v>
      </c>
      <c r="E127" s="40" t="s">
        <v>330</v>
      </c>
    </row>
    <row r="128" spans="1:5" ht="15" customHeight="1" x14ac:dyDescent="0.3">
      <c r="A128" s="40" t="s">
        <v>331</v>
      </c>
      <c r="B128" s="40" t="s">
        <v>268</v>
      </c>
      <c r="C128" s="40" t="s">
        <v>281</v>
      </c>
      <c r="D128" s="40" t="s">
        <v>274</v>
      </c>
      <c r="E128" s="40" t="s">
        <v>332</v>
      </c>
    </row>
    <row r="129" spans="1:5" ht="14.25" customHeight="1" x14ac:dyDescent="0.3">
      <c r="A129" s="40" t="s">
        <v>333</v>
      </c>
      <c r="B129" s="40" t="s">
        <v>334</v>
      </c>
      <c r="C129" s="40" t="s">
        <v>15</v>
      </c>
      <c r="D129" s="40" t="s">
        <v>264</v>
      </c>
      <c r="E129" s="40">
        <v>88.4</v>
      </c>
    </row>
    <row r="130" spans="1:5" ht="14.25" customHeight="1" x14ac:dyDescent="0.3">
      <c r="A130" s="40" t="s">
        <v>86</v>
      </c>
      <c r="B130" s="40" t="s">
        <v>280</v>
      </c>
      <c r="C130" s="40" t="s">
        <v>335</v>
      </c>
      <c r="D130" s="40" t="s">
        <v>336</v>
      </c>
      <c r="E130" s="40" t="s">
        <v>337</v>
      </c>
    </row>
  </sheetData>
  <sheetProtection algorithmName="SHA-512" hashValue="tNeEWVsZtvg2g4f2Ze3oarr29+/+iNQ1KGHTEicoIfMSdK/VLMmGSiH39rKgvbrHulZdCgKlOzGTck8zia9B5g==" saltValue="cUtyYnC+OMbnnobkqqeeZg==" spinCount="100000" sheet="1" objects="1" scenarios="1" selectLockedCells="1"/>
  <pageMargins left="0.75" right="0.75" top="1" bottom="1" header="0.511811023622047" footer="0.511811023622047"/>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0AFF3-0C6C-4853-BAB7-BDC6E56104D3}">
  <sheetPr codeName="Sheet11"/>
  <dimension ref="A1:E88"/>
  <sheetViews>
    <sheetView workbookViewId="0">
      <selection activeCell="H21" sqref="H21"/>
    </sheetView>
    <sheetView workbookViewId="1"/>
  </sheetViews>
  <sheetFormatPr defaultRowHeight="14.4" x14ac:dyDescent="0.3"/>
  <cols>
    <col min="1" max="1" width="9.5546875" bestFit="1" customWidth="1"/>
    <col min="2" max="2" width="26.21875" bestFit="1" customWidth="1"/>
    <col min="3" max="4" width="17.6640625" bestFit="1" customWidth="1"/>
    <col min="5" max="7" width="10.109375" bestFit="1" customWidth="1"/>
  </cols>
  <sheetData>
    <row r="1" spans="1:5" x14ac:dyDescent="0.3">
      <c r="A1" t="s">
        <v>46</v>
      </c>
      <c r="B1" t="s">
        <v>47</v>
      </c>
      <c r="C1" t="s">
        <v>48</v>
      </c>
      <c r="D1" t="s">
        <v>49</v>
      </c>
      <c r="E1" t="s">
        <v>50</v>
      </c>
    </row>
    <row r="2" spans="1:5" x14ac:dyDescent="0.3">
      <c r="A2" s="7">
        <v>46099</v>
      </c>
      <c r="B2" t="s">
        <v>413</v>
      </c>
      <c r="C2" t="s">
        <v>53</v>
      </c>
      <c r="D2" t="s">
        <v>54</v>
      </c>
      <c r="E2">
        <v>655.8</v>
      </c>
    </row>
    <row r="3" spans="1:5" x14ac:dyDescent="0.3">
      <c r="A3" s="7">
        <v>46091</v>
      </c>
      <c r="B3" t="s">
        <v>109</v>
      </c>
      <c r="C3" t="s">
        <v>58</v>
      </c>
      <c r="D3" t="s">
        <v>59</v>
      </c>
      <c r="E3">
        <v>404.81</v>
      </c>
    </row>
    <row r="4" spans="1:5" x14ac:dyDescent="0.3">
      <c r="A4" s="7">
        <v>46112</v>
      </c>
      <c r="B4" t="s">
        <v>109</v>
      </c>
      <c r="C4" t="s">
        <v>133</v>
      </c>
      <c r="D4" t="s">
        <v>64</v>
      </c>
      <c r="E4">
        <v>244.47</v>
      </c>
    </row>
    <row r="5" spans="1:5" x14ac:dyDescent="0.3">
      <c r="A5" s="7">
        <v>46111</v>
      </c>
      <c r="B5" t="s">
        <v>413</v>
      </c>
      <c r="C5" t="s">
        <v>67</v>
      </c>
      <c r="D5" t="s">
        <v>68</v>
      </c>
      <c r="E5">
        <v>573.14</v>
      </c>
    </row>
    <row r="6" spans="1:5" x14ac:dyDescent="0.3">
      <c r="A6" s="7">
        <v>46105</v>
      </c>
      <c r="B6" t="s">
        <v>413</v>
      </c>
      <c r="C6" t="s">
        <v>72</v>
      </c>
      <c r="D6" t="s">
        <v>64</v>
      </c>
      <c r="E6">
        <v>677.51</v>
      </c>
    </row>
    <row r="7" spans="1:5" x14ac:dyDescent="0.3">
      <c r="A7" s="7">
        <v>46091</v>
      </c>
      <c r="B7" t="s">
        <v>109</v>
      </c>
      <c r="C7" t="s">
        <v>76</v>
      </c>
      <c r="D7" t="s">
        <v>77</v>
      </c>
      <c r="E7">
        <v>276.26</v>
      </c>
    </row>
    <row r="8" spans="1:5" x14ac:dyDescent="0.3">
      <c r="A8" s="7">
        <v>46086</v>
      </c>
      <c r="B8" t="s">
        <v>109</v>
      </c>
      <c r="C8" t="s">
        <v>80</v>
      </c>
      <c r="D8" t="s">
        <v>81</v>
      </c>
      <c r="E8">
        <v>311.8</v>
      </c>
    </row>
    <row r="9" spans="1:5" x14ac:dyDescent="0.3">
      <c r="A9" s="7">
        <v>46104</v>
      </c>
      <c r="B9" t="s">
        <v>109</v>
      </c>
      <c r="C9" t="s">
        <v>133</v>
      </c>
      <c r="D9" t="s">
        <v>54</v>
      </c>
      <c r="E9">
        <v>395.66</v>
      </c>
    </row>
    <row r="10" spans="1:5" x14ac:dyDescent="0.3">
      <c r="A10" s="7">
        <v>46111</v>
      </c>
      <c r="B10" t="s">
        <v>414</v>
      </c>
      <c r="C10" t="s">
        <v>76</v>
      </c>
      <c r="D10" t="s">
        <v>88</v>
      </c>
      <c r="E10">
        <v>520.61</v>
      </c>
    </row>
    <row r="11" spans="1:5" x14ac:dyDescent="0.3">
      <c r="A11" s="7">
        <v>46094</v>
      </c>
      <c r="B11" t="s">
        <v>109</v>
      </c>
      <c r="C11" t="s">
        <v>67</v>
      </c>
      <c r="D11" t="s">
        <v>92</v>
      </c>
      <c r="E11">
        <v>253.32</v>
      </c>
    </row>
    <row r="12" spans="1:5" x14ac:dyDescent="0.3">
      <c r="A12" s="7">
        <v>46097</v>
      </c>
      <c r="B12" t="s">
        <v>413</v>
      </c>
      <c r="C12" t="s">
        <v>95</v>
      </c>
      <c r="D12" t="s">
        <v>81</v>
      </c>
      <c r="E12">
        <v>170.81</v>
      </c>
    </row>
    <row r="13" spans="1:5" x14ac:dyDescent="0.3">
      <c r="A13" s="7">
        <v>46103</v>
      </c>
      <c r="B13" t="s">
        <v>414</v>
      </c>
      <c r="C13" t="s">
        <v>99</v>
      </c>
      <c r="D13" t="s">
        <v>88</v>
      </c>
      <c r="E13">
        <v>423.58</v>
      </c>
    </row>
    <row r="14" spans="1:5" x14ac:dyDescent="0.3">
      <c r="A14" s="7">
        <v>46084</v>
      </c>
      <c r="B14" t="s">
        <v>413</v>
      </c>
      <c r="C14" t="s">
        <v>103</v>
      </c>
      <c r="D14" t="s">
        <v>68</v>
      </c>
      <c r="E14">
        <v>918.44</v>
      </c>
    </row>
    <row r="15" spans="1:5" x14ac:dyDescent="0.3">
      <c r="A15" s="7">
        <v>46099</v>
      </c>
      <c r="B15" t="s">
        <v>109</v>
      </c>
      <c r="C15" t="s">
        <v>95</v>
      </c>
      <c r="D15" t="s">
        <v>59</v>
      </c>
      <c r="E15">
        <v>306.36</v>
      </c>
    </row>
    <row r="16" spans="1:5" x14ac:dyDescent="0.3">
      <c r="A16" s="7">
        <v>46092</v>
      </c>
      <c r="B16" t="s">
        <v>109</v>
      </c>
      <c r="C16" t="s">
        <v>415</v>
      </c>
      <c r="D16" t="s">
        <v>64</v>
      </c>
      <c r="E16">
        <v>216.03</v>
      </c>
    </row>
    <row r="17" spans="1:5" x14ac:dyDescent="0.3">
      <c r="A17" s="7">
        <v>46099</v>
      </c>
      <c r="B17" t="s">
        <v>414</v>
      </c>
      <c r="C17" t="s">
        <v>95</v>
      </c>
      <c r="D17" t="s">
        <v>88</v>
      </c>
      <c r="E17">
        <v>329.75</v>
      </c>
    </row>
    <row r="18" spans="1:5" x14ac:dyDescent="0.3">
      <c r="A18" s="7">
        <v>46095</v>
      </c>
      <c r="B18" t="s">
        <v>109</v>
      </c>
      <c r="C18" t="s">
        <v>340</v>
      </c>
      <c r="D18" t="s">
        <v>64</v>
      </c>
      <c r="E18">
        <v>198.11</v>
      </c>
    </row>
    <row r="19" spans="1:5" x14ac:dyDescent="0.3">
      <c r="A19" s="7">
        <v>46089</v>
      </c>
      <c r="B19" t="s">
        <v>109</v>
      </c>
      <c r="C19" t="s">
        <v>95</v>
      </c>
      <c r="D19" t="s">
        <v>118</v>
      </c>
      <c r="E19">
        <v>366.44</v>
      </c>
    </row>
    <row r="20" spans="1:5" x14ac:dyDescent="0.3">
      <c r="A20" s="7">
        <v>46085</v>
      </c>
      <c r="B20" t="s">
        <v>413</v>
      </c>
      <c r="C20" t="s">
        <v>72</v>
      </c>
      <c r="D20" t="s">
        <v>120</v>
      </c>
      <c r="E20">
        <v>698.13</v>
      </c>
    </row>
    <row r="21" spans="1:5" x14ac:dyDescent="0.3">
      <c r="A21" s="7">
        <v>46088</v>
      </c>
      <c r="B21" t="s">
        <v>414</v>
      </c>
      <c r="C21" t="s">
        <v>72</v>
      </c>
      <c r="D21" t="s">
        <v>88</v>
      </c>
      <c r="E21">
        <v>328.25</v>
      </c>
    </row>
    <row r="22" spans="1:5" x14ac:dyDescent="0.3">
      <c r="A22" s="7">
        <v>46103</v>
      </c>
      <c r="B22" t="s">
        <v>413</v>
      </c>
      <c r="C22" t="s">
        <v>67</v>
      </c>
      <c r="D22" t="s">
        <v>64</v>
      </c>
      <c r="E22">
        <v>592.88</v>
      </c>
    </row>
    <row r="23" spans="1:5" x14ac:dyDescent="0.3">
      <c r="A23" s="7">
        <v>46086</v>
      </c>
      <c r="B23" t="s">
        <v>109</v>
      </c>
      <c r="C23" t="s">
        <v>99</v>
      </c>
      <c r="D23" t="s">
        <v>68</v>
      </c>
      <c r="E23">
        <v>358.05</v>
      </c>
    </row>
    <row r="24" spans="1:5" x14ac:dyDescent="0.3">
      <c r="A24" s="7">
        <v>46111</v>
      </c>
      <c r="B24" t="s">
        <v>414</v>
      </c>
      <c r="C24" t="s">
        <v>99</v>
      </c>
      <c r="D24" t="s">
        <v>88</v>
      </c>
      <c r="E24">
        <v>106.99</v>
      </c>
    </row>
    <row r="25" spans="1:5" x14ac:dyDescent="0.3">
      <c r="A25" s="7">
        <v>46090</v>
      </c>
      <c r="B25" t="s">
        <v>413</v>
      </c>
      <c r="C25" t="s">
        <v>133</v>
      </c>
      <c r="D25" t="s">
        <v>134</v>
      </c>
      <c r="E25">
        <v>572.04</v>
      </c>
    </row>
    <row r="26" spans="1:5" x14ac:dyDescent="0.3">
      <c r="A26" s="7">
        <v>46084</v>
      </c>
      <c r="B26" t="s">
        <v>413</v>
      </c>
      <c r="C26" t="s">
        <v>67</v>
      </c>
      <c r="D26" t="s">
        <v>77</v>
      </c>
      <c r="E26">
        <v>743.5</v>
      </c>
    </row>
    <row r="27" spans="1:5" x14ac:dyDescent="0.3">
      <c r="A27" s="7">
        <v>46094</v>
      </c>
      <c r="B27" t="s">
        <v>109</v>
      </c>
      <c r="C27" t="s">
        <v>138</v>
      </c>
      <c r="D27" t="s">
        <v>118</v>
      </c>
      <c r="E27">
        <v>125.6</v>
      </c>
    </row>
    <row r="28" spans="1:5" x14ac:dyDescent="0.3">
      <c r="A28" s="7">
        <v>46096</v>
      </c>
      <c r="B28" t="s">
        <v>413</v>
      </c>
      <c r="C28" t="s">
        <v>133</v>
      </c>
      <c r="D28" t="s">
        <v>68</v>
      </c>
      <c r="E28">
        <v>934.47</v>
      </c>
    </row>
    <row r="29" spans="1:5" x14ac:dyDescent="0.3">
      <c r="A29" s="7">
        <v>46111</v>
      </c>
      <c r="B29" t="s">
        <v>109</v>
      </c>
      <c r="C29" t="s">
        <v>72</v>
      </c>
      <c r="D29" t="s">
        <v>118</v>
      </c>
      <c r="E29">
        <v>381.83</v>
      </c>
    </row>
    <row r="30" spans="1:5" x14ac:dyDescent="0.3">
      <c r="A30" s="7">
        <v>46089</v>
      </c>
      <c r="B30" t="s">
        <v>414</v>
      </c>
      <c r="C30" t="s">
        <v>95</v>
      </c>
      <c r="D30" t="s">
        <v>88</v>
      </c>
      <c r="E30">
        <v>511.54</v>
      </c>
    </row>
    <row r="31" spans="1:5" x14ac:dyDescent="0.3">
      <c r="A31" s="7">
        <v>46083</v>
      </c>
      <c r="B31" t="s">
        <v>109</v>
      </c>
      <c r="C31" t="s">
        <v>340</v>
      </c>
      <c r="D31" t="s">
        <v>81</v>
      </c>
      <c r="E31">
        <v>419.24</v>
      </c>
    </row>
    <row r="32" spans="1:5" x14ac:dyDescent="0.3">
      <c r="A32" s="7">
        <v>46088</v>
      </c>
      <c r="B32" t="s">
        <v>109</v>
      </c>
      <c r="C32" t="s">
        <v>340</v>
      </c>
      <c r="D32" t="s">
        <v>54</v>
      </c>
      <c r="E32">
        <v>75.790000000000006</v>
      </c>
    </row>
    <row r="33" spans="1:5" x14ac:dyDescent="0.3">
      <c r="A33" s="7">
        <v>46096</v>
      </c>
      <c r="B33" t="s">
        <v>109</v>
      </c>
      <c r="C33" t="s">
        <v>416</v>
      </c>
      <c r="D33" t="s">
        <v>134</v>
      </c>
      <c r="E33">
        <v>38.380000000000003</v>
      </c>
    </row>
    <row r="34" spans="1:5" x14ac:dyDescent="0.3">
      <c r="A34" s="7">
        <v>46100</v>
      </c>
      <c r="B34" t="s">
        <v>109</v>
      </c>
      <c r="C34" t="s">
        <v>340</v>
      </c>
      <c r="D34" t="s">
        <v>134</v>
      </c>
      <c r="E34">
        <v>317.20999999999998</v>
      </c>
    </row>
    <row r="35" spans="1:5" x14ac:dyDescent="0.3">
      <c r="A35" s="7">
        <v>46107</v>
      </c>
      <c r="B35" t="s">
        <v>414</v>
      </c>
      <c r="C35" t="s">
        <v>53</v>
      </c>
      <c r="D35" t="s">
        <v>88</v>
      </c>
      <c r="E35">
        <v>350.4</v>
      </c>
    </row>
    <row r="36" spans="1:5" x14ac:dyDescent="0.3">
      <c r="A36" s="7">
        <v>46088</v>
      </c>
      <c r="B36" t="s">
        <v>109</v>
      </c>
      <c r="C36" t="s">
        <v>157</v>
      </c>
      <c r="D36" t="s">
        <v>158</v>
      </c>
      <c r="E36">
        <v>465.3</v>
      </c>
    </row>
    <row r="37" spans="1:5" x14ac:dyDescent="0.3">
      <c r="A37" s="7">
        <v>46091</v>
      </c>
      <c r="B37" t="s">
        <v>109</v>
      </c>
      <c r="C37" t="s">
        <v>76</v>
      </c>
      <c r="D37" t="s">
        <v>64</v>
      </c>
      <c r="E37">
        <v>473.8</v>
      </c>
    </row>
    <row r="38" spans="1:5" x14ac:dyDescent="0.3">
      <c r="A38" s="7">
        <v>46087</v>
      </c>
      <c r="B38" t="s">
        <v>109</v>
      </c>
      <c r="C38" t="s">
        <v>416</v>
      </c>
      <c r="D38" t="s">
        <v>77</v>
      </c>
      <c r="E38">
        <v>272.45</v>
      </c>
    </row>
    <row r="39" spans="1:5" x14ac:dyDescent="0.3">
      <c r="A39" s="7">
        <v>46095</v>
      </c>
      <c r="B39" t="s">
        <v>109</v>
      </c>
      <c r="C39" t="s">
        <v>72</v>
      </c>
      <c r="D39" t="s">
        <v>77</v>
      </c>
      <c r="E39">
        <v>346.32</v>
      </c>
    </row>
    <row r="40" spans="1:5" x14ac:dyDescent="0.3">
      <c r="A40" s="7">
        <v>46093</v>
      </c>
      <c r="B40" t="s">
        <v>109</v>
      </c>
      <c r="C40" t="s">
        <v>53</v>
      </c>
      <c r="D40" t="s">
        <v>118</v>
      </c>
      <c r="E40">
        <v>177.24</v>
      </c>
    </row>
    <row r="41" spans="1:5" x14ac:dyDescent="0.3">
      <c r="A41" s="7">
        <v>46101</v>
      </c>
      <c r="B41" t="s">
        <v>109</v>
      </c>
      <c r="C41" t="s">
        <v>53</v>
      </c>
      <c r="D41" t="s">
        <v>64</v>
      </c>
      <c r="E41">
        <v>373.13</v>
      </c>
    </row>
    <row r="42" spans="1:5" x14ac:dyDescent="0.3">
      <c r="A42" s="7">
        <v>46087</v>
      </c>
      <c r="B42" t="s">
        <v>109</v>
      </c>
      <c r="C42" t="s">
        <v>80</v>
      </c>
      <c r="D42" t="s">
        <v>64</v>
      </c>
      <c r="E42">
        <v>435.89</v>
      </c>
    </row>
    <row r="43" spans="1:5" x14ac:dyDescent="0.3">
      <c r="A43" s="7">
        <v>46110</v>
      </c>
      <c r="B43" t="s">
        <v>109</v>
      </c>
      <c r="C43" t="s">
        <v>76</v>
      </c>
      <c r="D43" t="s">
        <v>134</v>
      </c>
      <c r="E43">
        <v>398.34</v>
      </c>
    </row>
    <row r="44" spans="1:5" x14ac:dyDescent="0.3">
      <c r="A44" s="7">
        <v>46095</v>
      </c>
      <c r="B44" t="s">
        <v>109</v>
      </c>
      <c r="C44" t="s">
        <v>67</v>
      </c>
      <c r="D44" t="s">
        <v>134</v>
      </c>
      <c r="E44">
        <v>145.52000000000001</v>
      </c>
    </row>
    <row r="45" spans="1:5" x14ac:dyDescent="0.3">
      <c r="A45" s="7">
        <v>46107</v>
      </c>
      <c r="B45" t="s">
        <v>109</v>
      </c>
      <c r="C45" t="s">
        <v>343</v>
      </c>
      <c r="D45" t="s">
        <v>68</v>
      </c>
      <c r="E45">
        <v>364.54</v>
      </c>
    </row>
    <row r="46" spans="1:5" x14ac:dyDescent="0.3">
      <c r="A46" s="7">
        <v>46103</v>
      </c>
      <c r="B46" t="s">
        <v>109</v>
      </c>
      <c r="C46" t="s">
        <v>343</v>
      </c>
      <c r="D46" t="s">
        <v>81</v>
      </c>
      <c r="E46">
        <v>111.51</v>
      </c>
    </row>
    <row r="47" spans="1:5" x14ac:dyDescent="0.3">
      <c r="A47" s="7">
        <v>46086</v>
      </c>
      <c r="B47" t="s">
        <v>109</v>
      </c>
      <c r="C47" t="s">
        <v>72</v>
      </c>
      <c r="D47" t="s">
        <v>68</v>
      </c>
      <c r="E47">
        <v>306.89</v>
      </c>
    </row>
    <row r="48" spans="1:5" x14ac:dyDescent="0.3">
      <c r="A48" s="7">
        <v>46107</v>
      </c>
      <c r="B48" t="s">
        <v>414</v>
      </c>
      <c r="C48" t="s">
        <v>99</v>
      </c>
      <c r="D48" t="s">
        <v>88</v>
      </c>
      <c r="E48">
        <v>587.80999999999995</v>
      </c>
    </row>
    <row r="49" spans="1:5" x14ac:dyDescent="0.3">
      <c r="A49" s="7">
        <v>46104</v>
      </c>
      <c r="B49" t="s">
        <v>109</v>
      </c>
      <c r="C49" t="s">
        <v>103</v>
      </c>
      <c r="D49" t="s">
        <v>68</v>
      </c>
      <c r="E49">
        <v>256.72000000000003</v>
      </c>
    </row>
    <row r="50" spans="1:5" x14ac:dyDescent="0.3">
      <c r="A50" s="7">
        <v>46103</v>
      </c>
      <c r="B50" t="s">
        <v>413</v>
      </c>
      <c r="C50" t="s">
        <v>72</v>
      </c>
      <c r="D50" t="s">
        <v>59</v>
      </c>
      <c r="E50">
        <v>240.83</v>
      </c>
    </row>
    <row r="51" spans="1:5" x14ac:dyDescent="0.3">
      <c r="A51" s="7">
        <v>46109</v>
      </c>
      <c r="B51" t="s">
        <v>109</v>
      </c>
      <c r="C51" t="s">
        <v>416</v>
      </c>
      <c r="D51" t="s">
        <v>54</v>
      </c>
      <c r="E51">
        <v>100.09</v>
      </c>
    </row>
    <row r="52" spans="1:5" x14ac:dyDescent="0.3">
      <c r="A52" s="7">
        <v>46093</v>
      </c>
      <c r="B52" t="s">
        <v>413</v>
      </c>
      <c r="C52" t="s">
        <v>103</v>
      </c>
      <c r="D52" t="s">
        <v>81</v>
      </c>
      <c r="E52">
        <v>597.76</v>
      </c>
    </row>
    <row r="53" spans="1:5" x14ac:dyDescent="0.3">
      <c r="A53" s="7">
        <v>46092</v>
      </c>
      <c r="B53" t="s">
        <v>109</v>
      </c>
      <c r="C53" t="s">
        <v>340</v>
      </c>
      <c r="D53" t="s">
        <v>64</v>
      </c>
      <c r="E53">
        <v>289.98</v>
      </c>
    </row>
    <row r="54" spans="1:5" x14ac:dyDescent="0.3">
      <c r="A54" s="7">
        <v>46083</v>
      </c>
      <c r="B54" t="s">
        <v>109</v>
      </c>
      <c r="C54" t="s">
        <v>58</v>
      </c>
      <c r="D54" t="s">
        <v>68</v>
      </c>
      <c r="E54">
        <v>59.88</v>
      </c>
    </row>
    <row r="55" spans="1:5" x14ac:dyDescent="0.3">
      <c r="A55" s="7">
        <v>46103</v>
      </c>
      <c r="B55" t="s">
        <v>413</v>
      </c>
      <c r="C55" t="s">
        <v>76</v>
      </c>
      <c r="D55" t="s">
        <v>64</v>
      </c>
      <c r="E55">
        <v>727.37</v>
      </c>
    </row>
    <row r="56" spans="1:5" x14ac:dyDescent="0.3">
      <c r="A56" s="7">
        <v>46108</v>
      </c>
      <c r="B56" t="s">
        <v>109</v>
      </c>
      <c r="C56" t="s">
        <v>416</v>
      </c>
      <c r="D56" t="s">
        <v>118</v>
      </c>
      <c r="E56">
        <v>254.39</v>
      </c>
    </row>
    <row r="57" spans="1:5" x14ac:dyDescent="0.3">
      <c r="A57" s="7">
        <v>46106</v>
      </c>
      <c r="B57" t="s">
        <v>413</v>
      </c>
      <c r="C57" t="s">
        <v>99</v>
      </c>
      <c r="D57" t="s">
        <v>194</v>
      </c>
      <c r="E57">
        <v>157.83000000000001</v>
      </c>
    </row>
    <row r="58" spans="1:5" x14ac:dyDescent="0.3">
      <c r="A58" s="7">
        <v>46100</v>
      </c>
      <c r="B58" t="s">
        <v>109</v>
      </c>
      <c r="C58" t="s">
        <v>197</v>
      </c>
      <c r="D58" t="s">
        <v>77</v>
      </c>
      <c r="E58">
        <v>157.63</v>
      </c>
    </row>
    <row r="59" spans="1:5" x14ac:dyDescent="0.3">
      <c r="A59" s="7">
        <v>46094</v>
      </c>
      <c r="B59" t="s">
        <v>413</v>
      </c>
      <c r="C59" t="s">
        <v>103</v>
      </c>
      <c r="D59" t="s">
        <v>158</v>
      </c>
      <c r="E59">
        <v>331.31</v>
      </c>
    </row>
    <row r="60" spans="1:5" x14ac:dyDescent="0.3">
      <c r="A60" s="7">
        <v>46107</v>
      </c>
      <c r="B60" t="s">
        <v>414</v>
      </c>
      <c r="C60" t="s">
        <v>99</v>
      </c>
      <c r="D60" t="s">
        <v>88</v>
      </c>
      <c r="E60">
        <v>587.80999999999995</v>
      </c>
    </row>
    <row r="61" spans="1:5" x14ac:dyDescent="0.3">
      <c r="A61" s="7">
        <v>46094</v>
      </c>
      <c r="B61" t="s">
        <v>109</v>
      </c>
      <c r="C61" t="s">
        <v>67</v>
      </c>
      <c r="D61" t="s">
        <v>92</v>
      </c>
      <c r="E61">
        <v>253.32</v>
      </c>
    </row>
    <row r="62" spans="1:5" x14ac:dyDescent="0.3">
      <c r="A62" s="7">
        <v>46083</v>
      </c>
      <c r="B62" t="s">
        <v>109</v>
      </c>
      <c r="C62" t="s">
        <v>53</v>
      </c>
      <c r="D62" t="s">
        <v>134</v>
      </c>
      <c r="E62">
        <v>96.4</v>
      </c>
    </row>
    <row r="63" spans="1:5" x14ac:dyDescent="0.3">
      <c r="A63" s="7">
        <v>46090</v>
      </c>
      <c r="B63" t="s">
        <v>109</v>
      </c>
      <c r="C63" t="s">
        <v>138</v>
      </c>
      <c r="D63" t="s">
        <v>54</v>
      </c>
      <c r="E63">
        <v>214.1</v>
      </c>
    </row>
    <row r="64" spans="1:5" x14ac:dyDescent="0.3">
      <c r="A64" s="7">
        <v>46094</v>
      </c>
      <c r="B64" t="s">
        <v>413</v>
      </c>
      <c r="C64" t="s">
        <v>58</v>
      </c>
      <c r="D64" t="s">
        <v>68</v>
      </c>
      <c r="E64">
        <v>410</v>
      </c>
    </row>
    <row r="65" spans="1:5" x14ac:dyDescent="0.3">
      <c r="A65" s="7">
        <v>46098</v>
      </c>
      <c r="B65" t="s">
        <v>109</v>
      </c>
      <c r="C65" t="s">
        <v>99</v>
      </c>
      <c r="D65" t="s">
        <v>81</v>
      </c>
      <c r="E65">
        <v>88.75</v>
      </c>
    </row>
    <row r="66" spans="1:5" x14ac:dyDescent="0.3">
      <c r="A66" s="7">
        <v>46102</v>
      </c>
      <c r="B66" t="s">
        <v>109</v>
      </c>
      <c r="C66" t="s">
        <v>133</v>
      </c>
      <c r="D66" t="s">
        <v>158</v>
      </c>
      <c r="E66">
        <v>63.2</v>
      </c>
    </row>
    <row r="67" spans="1:5" x14ac:dyDescent="0.3">
      <c r="A67" s="7">
        <v>46104</v>
      </c>
      <c r="B67" t="s">
        <v>414</v>
      </c>
      <c r="C67" t="s">
        <v>67</v>
      </c>
      <c r="D67" t="s">
        <v>88</v>
      </c>
      <c r="E67">
        <v>275</v>
      </c>
    </row>
    <row r="68" spans="1:5" x14ac:dyDescent="0.3">
      <c r="A68" s="7">
        <v>46105</v>
      </c>
      <c r="B68" t="s">
        <v>413</v>
      </c>
      <c r="C68" t="s">
        <v>72</v>
      </c>
      <c r="D68" t="s">
        <v>59</v>
      </c>
      <c r="E68">
        <v>198.5</v>
      </c>
    </row>
    <row r="69" spans="1:5" x14ac:dyDescent="0.3">
      <c r="A69" s="7">
        <v>46108</v>
      </c>
      <c r="B69" t="s">
        <v>109</v>
      </c>
      <c r="C69" t="s">
        <v>76</v>
      </c>
      <c r="D69" t="s">
        <v>118</v>
      </c>
      <c r="E69">
        <v>142.30000000000001</v>
      </c>
    </row>
    <row r="70" spans="1:5" x14ac:dyDescent="0.3">
      <c r="A70" s="7">
        <v>46111</v>
      </c>
      <c r="B70" t="s">
        <v>109</v>
      </c>
      <c r="C70" t="s">
        <v>103</v>
      </c>
      <c r="D70" t="s">
        <v>92</v>
      </c>
      <c r="E70">
        <v>310.60000000000002</v>
      </c>
    </row>
    <row r="71" spans="1:5" x14ac:dyDescent="0.3">
      <c r="A71" s="7">
        <v>46112</v>
      </c>
      <c r="B71" t="s">
        <v>413</v>
      </c>
      <c r="C71" t="s">
        <v>95</v>
      </c>
      <c r="D71" t="s">
        <v>77</v>
      </c>
      <c r="E71">
        <v>505</v>
      </c>
    </row>
    <row r="72" spans="1:5" x14ac:dyDescent="0.3">
      <c r="A72" s="7">
        <v>46087</v>
      </c>
      <c r="B72" t="s">
        <v>413</v>
      </c>
      <c r="C72" s="8" t="s">
        <v>95</v>
      </c>
      <c r="D72" t="s">
        <v>92</v>
      </c>
      <c r="E72">
        <v>342.1</v>
      </c>
    </row>
    <row r="73" spans="1:5" x14ac:dyDescent="0.3">
      <c r="A73" s="7">
        <v>46092</v>
      </c>
      <c r="B73" t="s">
        <v>413</v>
      </c>
      <c r="C73" s="9" t="s">
        <v>72</v>
      </c>
      <c r="D73" t="s">
        <v>68</v>
      </c>
      <c r="E73">
        <v>478.25</v>
      </c>
    </row>
    <row r="74" spans="1:5" x14ac:dyDescent="0.3">
      <c r="A74" s="7">
        <v>46096</v>
      </c>
      <c r="B74" t="s">
        <v>109</v>
      </c>
      <c r="C74" s="8" t="s">
        <v>53</v>
      </c>
      <c r="D74" t="s">
        <v>134</v>
      </c>
      <c r="E74">
        <v>129.99</v>
      </c>
    </row>
    <row r="75" spans="1:5" x14ac:dyDescent="0.3">
      <c r="A75" s="7">
        <v>46101</v>
      </c>
      <c r="B75" t="s">
        <v>413</v>
      </c>
      <c r="C75" s="9" t="s">
        <v>67</v>
      </c>
      <c r="D75" t="s">
        <v>64</v>
      </c>
      <c r="E75">
        <v>266.39999999999998</v>
      </c>
    </row>
    <row r="76" spans="1:5" x14ac:dyDescent="0.3">
      <c r="A76" s="7">
        <v>46109</v>
      </c>
      <c r="B76" t="s">
        <v>109</v>
      </c>
      <c r="C76" s="8" t="s">
        <v>99</v>
      </c>
      <c r="D76" t="s">
        <v>81</v>
      </c>
      <c r="E76">
        <v>101.15</v>
      </c>
    </row>
    <row r="77" spans="1:5" x14ac:dyDescent="0.3">
      <c r="A77" s="7">
        <v>46084</v>
      </c>
      <c r="B77" t="s">
        <v>109</v>
      </c>
      <c r="C77" t="s">
        <v>340</v>
      </c>
      <c r="D77" t="s">
        <v>59</v>
      </c>
      <c r="E77">
        <v>54.8</v>
      </c>
    </row>
    <row r="78" spans="1:5" x14ac:dyDescent="0.3">
      <c r="A78" s="7">
        <v>46086</v>
      </c>
      <c r="B78" t="s">
        <v>109</v>
      </c>
      <c r="C78" t="s">
        <v>340</v>
      </c>
      <c r="D78" t="s">
        <v>118</v>
      </c>
      <c r="E78">
        <v>72</v>
      </c>
    </row>
    <row r="79" spans="1:5" x14ac:dyDescent="0.3">
      <c r="A79" s="7">
        <v>46089</v>
      </c>
      <c r="B79" t="s">
        <v>413</v>
      </c>
      <c r="C79" t="s">
        <v>133</v>
      </c>
      <c r="D79" t="s">
        <v>242</v>
      </c>
      <c r="E79">
        <v>388.4</v>
      </c>
    </row>
    <row r="80" spans="1:5" x14ac:dyDescent="0.3">
      <c r="A80" s="7">
        <v>46091</v>
      </c>
      <c r="B80" t="s">
        <v>109</v>
      </c>
      <c r="C80" t="s">
        <v>244</v>
      </c>
      <c r="D80" t="s">
        <v>158</v>
      </c>
      <c r="E80">
        <v>29.99</v>
      </c>
    </row>
    <row r="81" spans="1:5" x14ac:dyDescent="0.3">
      <c r="A81" s="7">
        <v>46095</v>
      </c>
      <c r="B81" t="s">
        <v>414</v>
      </c>
      <c r="C81" t="s">
        <v>103</v>
      </c>
      <c r="D81" t="s">
        <v>158</v>
      </c>
      <c r="E81">
        <v>410</v>
      </c>
    </row>
    <row r="82" spans="1:5" x14ac:dyDescent="0.3">
      <c r="A82" s="7">
        <v>46097</v>
      </c>
      <c r="B82" t="s">
        <v>109</v>
      </c>
      <c r="C82" t="s">
        <v>76</v>
      </c>
      <c r="D82" t="s">
        <v>77</v>
      </c>
      <c r="E82">
        <v>199.25</v>
      </c>
    </row>
    <row r="83" spans="1:5" x14ac:dyDescent="0.3">
      <c r="A83" s="7">
        <v>46099</v>
      </c>
      <c r="B83" t="s">
        <v>413</v>
      </c>
      <c r="C83" t="s">
        <v>138</v>
      </c>
      <c r="D83" t="s">
        <v>64</v>
      </c>
      <c r="E83">
        <v>322.10000000000002</v>
      </c>
    </row>
    <row r="84" spans="1:5" x14ac:dyDescent="0.3">
      <c r="A84" s="7">
        <v>46103</v>
      </c>
      <c r="B84" t="s">
        <v>109</v>
      </c>
      <c r="C84" t="s">
        <v>80</v>
      </c>
      <c r="D84" t="s">
        <v>92</v>
      </c>
      <c r="E84">
        <v>118.6</v>
      </c>
    </row>
    <row r="85" spans="1:5" x14ac:dyDescent="0.3">
      <c r="A85" s="7">
        <v>46107</v>
      </c>
      <c r="B85" t="s">
        <v>109</v>
      </c>
      <c r="C85" t="s">
        <v>58</v>
      </c>
      <c r="D85" t="s">
        <v>92</v>
      </c>
      <c r="E85">
        <v>340</v>
      </c>
    </row>
    <row r="86" spans="1:5" x14ac:dyDescent="0.3">
      <c r="A86" s="7">
        <v>46110</v>
      </c>
      <c r="B86" t="s">
        <v>109</v>
      </c>
      <c r="C86" t="s">
        <v>340</v>
      </c>
      <c r="D86" t="s">
        <v>81</v>
      </c>
      <c r="E86">
        <v>84.15</v>
      </c>
    </row>
    <row r="87" spans="1:5" x14ac:dyDescent="0.3">
      <c r="A87" s="7">
        <v>46100</v>
      </c>
      <c r="B87" t="s">
        <v>413</v>
      </c>
      <c r="C87" t="s">
        <v>67</v>
      </c>
      <c r="D87" t="s">
        <v>68</v>
      </c>
      <c r="E87">
        <v>34000</v>
      </c>
    </row>
    <row r="88" spans="1:5" x14ac:dyDescent="0.3">
      <c r="A88" s="7">
        <v>46106</v>
      </c>
      <c r="B88" t="s">
        <v>109</v>
      </c>
      <c r="C88" t="s">
        <v>53</v>
      </c>
      <c r="D88" t="s">
        <v>54</v>
      </c>
      <c r="E88">
        <v>21550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AC350-8572-45EA-AB41-7A5BFE277515}">
  <sheetPr codeName="Sheet17"/>
  <dimension ref="A1:E33"/>
  <sheetViews>
    <sheetView workbookViewId="0">
      <selection activeCell="C31" sqref="C31"/>
    </sheetView>
    <sheetView workbookViewId="1"/>
  </sheetViews>
  <sheetFormatPr defaultRowHeight="14.4" x14ac:dyDescent="0.3"/>
  <cols>
    <col min="1" max="1" width="9.5546875" bestFit="1" customWidth="1"/>
    <col min="2" max="2" width="40" bestFit="1" customWidth="1"/>
    <col min="3" max="4" width="20.109375" bestFit="1" customWidth="1"/>
    <col min="5" max="5" width="10.109375" bestFit="1" customWidth="1"/>
  </cols>
  <sheetData>
    <row r="1" spans="1:5" x14ac:dyDescent="0.3">
      <c r="A1" t="s">
        <v>46</v>
      </c>
      <c r="B1" t="s">
        <v>260</v>
      </c>
      <c r="C1" t="s">
        <v>261</v>
      </c>
      <c r="D1" t="s">
        <v>262</v>
      </c>
      <c r="E1" t="s">
        <v>50</v>
      </c>
    </row>
    <row r="2" spans="1:5" x14ac:dyDescent="0.3">
      <c r="A2" t="s">
        <v>200</v>
      </c>
      <c r="B2" t="s">
        <v>417</v>
      </c>
      <c r="C2" t="s">
        <v>265</v>
      </c>
      <c r="D2" t="s">
        <v>264</v>
      </c>
      <c r="E2" t="s">
        <v>418</v>
      </c>
    </row>
    <row r="3" spans="1:5" x14ac:dyDescent="0.3">
      <c r="A3" t="s">
        <v>97</v>
      </c>
      <c r="B3" t="s">
        <v>268</v>
      </c>
      <c r="C3" t="s">
        <v>15</v>
      </c>
      <c r="D3" t="s">
        <v>264</v>
      </c>
      <c r="E3" t="s">
        <v>419</v>
      </c>
    </row>
    <row r="4" spans="1:5" x14ac:dyDescent="0.3">
      <c r="A4" t="s">
        <v>271</v>
      </c>
      <c r="B4" t="s">
        <v>417</v>
      </c>
      <c r="C4" t="s">
        <v>265</v>
      </c>
      <c r="D4" t="s">
        <v>264</v>
      </c>
      <c r="E4" t="s">
        <v>420</v>
      </c>
    </row>
    <row r="5" spans="1:5" x14ac:dyDescent="0.3">
      <c r="A5" t="s">
        <v>139</v>
      </c>
      <c r="B5" t="s">
        <v>273</v>
      </c>
      <c r="C5" t="s">
        <v>273</v>
      </c>
      <c r="D5" t="s">
        <v>274</v>
      </c>
      <c r="E5" t="s">
        <v>421</v>
      </c>
    </row>
    <row r="6" spans="1:5" x14ac:dyDescent="0.3">
      <c r="A6" t="s">
        <v>139</v>
      </c>
      <c r="B6" t="s">
        <v>276</v>
      </c>
      <c r="C6" t="s">
        <v>277</v>
      </c>
      <c r="D6" t="s">
        <v>264</v>
      </c>
      <c r="E6" t="s">
        <v>278</v>
      </c>
    </row>
    <row r="7" spans="1:5" x14ac:dyDescent="0.3">
      <c r="A7" t="s">
        <v>290</v>
      </c>
      <c r="B7" t="s">
        <v>268</v>
      </c>
      <c r="C7" t="s">
        <v>15</v>
      </c>
      <c r="D7" t="s">
        <v>264</v>
      </c>
      <c r="E7" t="s">
        <v>422</v>
      </c>
    </row>
    <row r="8" spans="1:5" x14ac:dyDescent="0.3">
      <c r="A8" t="s">
        <v>151</v>
      </c>
      <c r="B8" t="s">
        <v>423</v>
      </c>
      <c r="C8" t="s">
        <v>424</v>
      </c>
      <c r="D8" t="s">
        <v>274</v>
      </c>
      <c r="E8" t="s">
        <v>425</v>
      </c>
    </row>
    <row r="9" spans="1:5" x14ac:dyDescent="0.3">
      <c r="A9" t="s">
        <v>105</v>
      </c>
      <c r="B9" t="s">
        <v>426</v>
      </c>
      <c r="C9" t="s">
        <v>284</v>
      </c>
      <c r="D9" t="s">
        <v>274</v>
      </c>
      <c r="E9" t="s">
        <v>427</v>
      </c>
    </row>
    <row r="10" spans="1:5" x14ac:dyDescent="0.3">
      <c r="A10" t="s">
        <v>246</v>
      </c>
      <c r="B10" t="s">
        <v>300</v>
      </c>
      <c r="C10" t="s">
        <v>301</v>
      </c>
      <c r="D10" t="s">
        <v>52</v>
      </c>
      <c r="E10" t="s">
        <v>428</v>
      </c>
    </row>
    <row r="11" spans="1:5" x14ac:dyDescent="0.3">
      <c r="A11" t="s">
        <v>221</v>
      </c>
      <c r="B11" t="s">
        <v>287</v>
      </c>
      <c r="C11" t="s">
        <v>274</v>
      </c>
      <c r="D11" t="s">
        <v>277</v>
      </c>
      <c r="E11" t="s">
        <v>429</v>
      </c>
    </row>
    <row r="12" spans="1:5" x14ac:dyDescent="0.3">
      <c r="A12" t="s">
        <v>348</v>
      </c>
      <c r="B12" t="s">
        <v>268</v>
      </c>
      <c r="C12" t="s">
        <v>15</v>
      </c>
      <c r="D12" t="s">
        <v>52</v>
      </c>
      <c r="E12" t="s">
        <v>289</v>
      </c>
    </row>
    <row r="13" spans="1:5" x14ac:dyDescent="0.3">
      <c r="A13" t="s">
        <v>290</v>
      </c>
      <c r="B13" t="s">
        <v>268</v>
      </c>
      <c r="C13" t="s">
        <v>15</v>
      </c>
      <c r="D13" t="s">
        <v>264</v>
      </c>
      <c r="E13" t="s">
        <v>430</v>
      </c>
    </row>
    <row r="14" spans="1:5" x14ac:dyDescent="0.3">
      <c r="A14" t="s">
        <v>232</v>
      </c>
      <c r="B14" t="s">
        <v>287</v>
      </c>
      <c r="C14" t="s">
        <v>277</v>
      </c>
      <c r="D14" t="s">
        <v>264</v>
      </c>
      <c r="E14" t="s">
        <v>431</v>
      </c>
    </row>
    <row r="15" spans="1:5" x14ac:dyDescent="0.3">
      <c r="A15" t="s">
        <v>293</v>
      </c>
      <c r="B15" t="s">
        <v>294</v>
      </c>
      <c r="C15" t="s">
        <v>295</v>
      </c>
      <c r="D15" t="s">
        <v>274</v>
      </c>
      <c r="E15" t="s">
        <v>432</v>
      </c>
    </row>
    <row r="16" spans="1:5" x14ac:dyDescent="0.3">
      <c r="A16" t="s">
        <v>297</v>
      </c>
      <c r="B16" t="s">
        <v>433</v>
      </c>
      <c r="C16" t="s">
        <v>15</v>
      </c>
      <c r="D16" t="s">
        <v>264</v>
      </c>
      <c r="E16" t="s">
        <v>434</v>
      </c>
    </row>
    <row r="17" spans="1:5" x14ac:dyDescent="0.3">
      <c r="A17" t="s">
        <v>349</v>
      </c>
      <c r="B17" t="s">
        <v>300</v>
      </c>
      <c r="C17" t="s">
        <v>301</v>
      </c>
      <c r="D17" t="s">
        <v>52</v>
      </c>
      <c r="E17" t="s">
        <v>435</v>
      </c>
    </row>
    <row r="18" spans="1:5" x14ac:dyDescent="0.3">
      <c r="A18" t="s">
        <v>144</v>
      </c>
      <c r="B18" t="s">
        <v>426</v>
      </c>
      <c r="C18" t="s">
        <v>284</v>
      </c>
      <c r="D18" t="s">
        <v>274</v>
      </c>
      <c r="E18" t="s">
        <v>436</v>
      </c>
    </row>
    <row r="19" spans="1:5" x14ac:dyDescent="0.3">
      <c r="A19" t="s">
        <v>165</v>
      </c>
      <c r="B19" t="s">
        <v>276</v>
      </c>
      <c r="C19" t="s">
        <v>277</v>
      </c>
      <c r="D19" t="s">
        <v>264</v>
      </c>
      <c r="E19" t="s">
        <v>437</v>
      </c>
    </row>
    <row r="20" spans="1:5" x14ac:dyDescent="0.3">
      <c r="A20" t="s">
        <v>79</v>
      </c>
      <c r="B20" t="s">
        <v>268</v>
      </c>
      <c r="C20" t="s">
        <v>424</v>
      </c>
      <c r="D20" t="s">
        <v>274</v>
      </c>
      <c r="E20" t="s">
        <v>438</v>
      </c>
    </row>
    <row r="21" spans="1:5" x14ac:dyDescent="0.3">
      <c r="A21" t="s">
        <v>56</v>
      </c>
      <c r="B21" t="s">
        <v>310</v>
      </c>
      <c r="C21" t="s">
        <v>311</v>
      </c>
      <c r="D21" t="s">
        <v>274</v>
      </c>
      <c r="E21" t="s">
        <v>439</v>
      </c>
    </row>
    <row r="22" spans="1:5" x14ac:dyDescent="0.3">
      <c r="A22" t="s">
        <v>83</v>
      </c>
      <c r="B22" t="s">
        <v>417</v>
      </c>
      <c r="C22" t="s">
        <v>440</v>
      </c>
      <c r="D22" t="s">
        <v>264</v>
      </c>
      <c r="E22" t="s">
        <v>441</v>
      </c>
    </row>
    <row r="23" spans="1:5" x14ac:dyDescent="0.3">
      <c r="A23" t="s">
        <v>350</v>
      </c>
      <c r="B23" t="s">
        <v>310</v>
      </c>
      <c r="C23" t="s">
        <v>311</v>
      </c>
      <c r="D23" t="s">
        <v>274</v>
      </c>
      <c r="E23" t="s">
        <v>439</v>
      </c>
    </row>
    <row r="24" spans="1:5" x14ac:dyDescent="0.3">
      <c r="A24" t="s">
        <v>316</v>
      </c>
      <c r="B24" t="s">
        <v>268</v>
      </c>
      <c r="C24" t="s">
        <v>15</v>
      </c>
      <c r="D24" t="s">
        <v>264</v>
      </c>
      <c r="E24" t="s">
        <v>442</v>
      </c>
    </row>
    <row r="25" spans="1:5" x14ac:dyDescent="0.3">
      <c r="A25" t="s">
        <v>201</v>
      </c>
      <c r="B25" t="s">
        <v>294</v>
      </c>
      <c r="C25" t="s">
        <v>295</v>
      </c>
      <c r="D25" t="s">
        <v>274</v>
      </c>
      <c r="E25" t="s">
        <v>432</v>
      </c>
    </row>
    <row r="26" spans="1:5" x14ac:dyDescent="0.3">
      <c r="A26" t="s">
        <v>345</v>
      </c>
      <c r="B26" t="s">
        <v>426</v>
      </c>
      <c r="C26" t="s">
        <v>284</v>
      </c>
      <c r="D26" t="s">
        <v>52</v>
      </c>
      <c r="E26" t="s">
        <v>443</v>
      </c>
    </row>
    <row r="27" spans="1:5" x14ac:dyDescent="0.3">
      <c r="A27" t="s">
        <v>154</v>
      </c>
      <c r="B27" t="s">
        <v>417</v>
      </c>
      <c r="C27" t="s">
        <v>265</v>
      </c>
      <c r="D27" t="s">
        <v>264</v>
      </c>
      <c r="E27" t="s">
        <v>444</v>
      </c>
    </row>
    <row r="28" spans="1:5" x14ac:dyDescent="0.3">
      <c r="A28" t="s">
        <v>108</v>
      </c>
      <c r="B28" t="s">
        <v>423</v>
      </c>
      <c r="C28" t="s">
        <v>15</v>
      </c>
      <c r="D28" t="s">
        <v>52</v>
      </c>
      <c r="E28" t="s">
        <v>445</v>
      </c>
    </row>
    <row r="29" spans="1:5" x14ac:dyDescent="0.3">
      <c r="A29" t="s">
        <v>347</v>
      </c>
      <c r="B29" t="s">
        <v>426</v>
      </c>
      <c r="C29" t="s">
        <v>284</v>
      </c>
      <c r="D29" t="s">
        <v>274</v>
      </c>
      <c r="E29" t="s">
        <v>446</v>
      </c>
    </row>
    <row r="30" spans="1:5" x14ac:dyDescent="0.3">
      <c r="A30" t="s">
        <v>211</v>
      </c>
      <c r="B30" t="s">
        <v>276</v>
      </c>
      <c r="C30" t="s">
        <v>277</v>
      </c>
      <c r="D30" t="s">
        <v>264</v>
      </c>
      <c r="E30" t="s">
        <v>447</v>
      </c>
    </row>
    <row r="31" spans="1:5" x14ac:dyDescent="0.3">
      <c r="A31" t="s">
        <v>331</v>
      </c>
      <c r="B31" t="s">
        <v>268</v>
      </c>
      <c r="C31" t="s">
        <v>424</v>
      </c>
      <c r="D31" t="s">
        <v>274</v>
      </c>
      <c r="E31" t="s">
        <v>448</v>
      </c>
    </row>
    <row r="32" spans="1:5" x14ac:dyDescent="0.3">
      <c r="A32" t="s">
        <v>333</v>
      </c>
      <c r="B32" t="s">
        <v>449</v>
      </c>
      <c r="C32" t="s">
        <v>15</v>
      </c>
      <c r="D32" t="s">
        <v>264</v>
      </c>
      <c r="E32" t="s">
        <v>450</v>
      </c>
    </row>
    <row r="33" spans="1:5" x14ac:dyDescent="0.3">
      <c r="A33" t="s">
        <v>86</v>
      </c>
      <c r="B33" t="s">
        <v>423</v>
      </c>
      <c r="C33" t="s">
        <v>15</v>
      </c>
      <c r="D33" t="s">
        <v>52</v>
      </c>
      <c r="E33" t="s">
        <v>451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M89"/>
  <sheetViews>
    <sheetView topLeftCell="A2" zoomScaleNormal="100" workbookViewId="0">
      <selection activeCell="G88" sqref="G88"/>
    </sheetView>
    <sheetView topLeftCell="C1" workbookViewId="1">
      <selection activeCell="N6" sqref="N6"/>
    </sheetView>
  </sheetViews>
  <sheetFormatPr defaultColWidth="8.6640625" defaultRowHeight="15" customHeight="1" x14ac:dyDescent="0.3"/>
  <cols>
    <col min="1" max="1" width="9.5546875" style="13" customWidth="1"/>
    <col min="2" max="2" width="26" style="13" customWidth="1"/>
    <col min="3" max="3" width="17.6640625" style="13" customWidth="1"/>
    <col min="4" max="4" width="15.33203125" style="13" customWidth="1"/>
    <col min="5" max="6" width="10.109375" style="13" customWidth="1"/>
    <col min="7" max="7" width="8.6640625" style="13"/>
    <col min="8" max="8" width="10.109375" style="13" customWidth="1"/>
    <col min="9" max="9" width="20.88671875" style="13" customWidth="1"/>
    <col min="10" max="10" width="20.109375" style="13" customWidth="1"/>
    <col min="11" max="11" width="17.6640625" style="13" customWidth="1"/>
    <col min="12" max="12" width="10.44140625" style="13" customWidth="1"/>
    <col min="13" max="13" width="8.77734375" style="13" customWidth="1"/>
    <col min="14" max="16384" width="8.6640625" style="13"/>
  </cols>
  <sheetData>
    <row r="1" spans="1:13" ht="15" customHeight="1" x14ac:dyDescent="0.45">
      <c r="A1" s="59" t="s">
        <v>341</v>
      </c>
    </row>
    <row r="2" spans="1:13" ht="15" customHeight="1" x14ac:dyDescent="0.3">
      <c r="A2" s="60" t="s">
        <v>338</v>
      </c>
      <c r="H2" s="60" t="s">
        <v>342</v>
      </c>
    </row>
    <row r="3" spans="1:13" ht="15" customHeight="1" x14ac:dyDescent="0.3">
      <c r="A3" s="13" t="s">
        <v>46</v>
      </c>
      <c r="B3" s="13" t="s">
        <v>47</v>
      </c>
      <c r="C3" s="13" t="s">
        <v>48</v>
      </c>
      <c r="D3" s="13" t="s">
        <v>49</v>
      </c>
      <c r="E3" s="13" t="s">
        <v>50</v>
      </c>
      <c r="F3" s="13" t="s">
        <v>339</v>
      </c>
      <c r="H3" s="13" t="s">
        <v>46</v>
      </c>
      <c r="I3" s="13" t="s">
        <v>260</v>
      </c>
      <c r="J3" s="13" t="s">
        <v>261</v>
      </c>
      <c r="K3" s="13" t="s">
        <v>262</v>
      </c>
      <c r="L3" s="13" t="s">
        <v>50</v>
      </c>
      <c r="M3" s="13" t="s">
        <v>339</v>
      </c>
    </row>
    <row r="4" spans="1:13" ht="15" customHeight="1" x14ac:dyDescent="0.3">
      <c r="A4" s="61">
        <v>46082</v>
      </c>
      <c r="B4" s="13" t="s">
        <v>109</v>
      </c>
      <c r="C4" s="13" t="s">
        <v>53</v>
      </c>
      <c r="D4" s="13" t="s">
        <v>118</v>
      </c>
      <c r="E4" s="62">
        <v>177.24</v>
      </c>
      <c r="F4" s="40">
        <v>1</v>
      </c>
      <c r="H4" s="63">
        <v>46082</v>
      </c>
      <c r="I4" s="13" t="s">
        <v>294</v>
      </c>
      <c r="J4" s="13" t="s">
        <v>295</v>
      </c>
      <c r="K4" s="13" t="s">
        <v>274</v>
      </c>
      <c r="L4" s="62">
        <v>2200</v>
      </c>
      <c r="M4" s="13">
        <v>2</v>
      </c>
    </row>
    <row r="5" spans="1:13" ht="15" customHeight="1" x14ac:dyDescent="0.3">
      <c r="A5" s="61">
        <v>46083</v>
      </c>
      <c r="B5" s="13" t="s">
        <v>109</v>
      </c>
      <c r="C5" s="13" t="s">
        <v>340</v>
      </c>
      <c r="D5" s="13" t="s">
        <v>81</v>
      </c>
      <c r="E5" s="62">
        <v>419.24</v>
      </c>
      <c r="F5" s="40">
        <v>3</v>
      </c>
      <c r="H5" s="63">
        <v>46083</v>
      </c>
      <c r="I5" s="13" t="s">
        <v>294</v>
      </c>
      <c r="J5" s="13" t="s">
        <v>295</v>
      </c>
      <c r="K5" s="13" t="s">
        <v>274</v>
      </c>
      <c r="L5" s="62">
        <v>2200</v>
      </c>
      <c r="M5" s="13">
        <v>6</v>
      </c>
    </row>
    <row r="6" spans="1:13" ht="15" customHeight="1" x14ac:dyDescent="0.3">
      <c r="A6" s="61">
        <v>46083</v>
      </c>
      <c r="B6" s="13" t="s">
        <v>109</v>
      </c>
      <c r="C6" s="13" t="s">
        <v>58</v>
      </c>
      <c r="D6" s="13" t="s">
        <v>68</v>
      </c>
      <c r="E6" s="62">
        <v>59.88</v>
      </c>
      <c r="F6" s="40">
        <v>4</v>
      </c>
      <c r="H6" s="63">
        <v>46084</v>
      </c>
      <c r="I6" s="13" t="s">
        <v>283</v>
      </c>
      <c r="J6" s="13" t="s">
        <v>284</v>
      </c>
      <c r="K6" s="13" t="s">
        <v>52</v>
      </c>
      <c r="L6" s="62">
        <v>214.5</v>
      </c>
      <c r="M6" s="13">
        <v>10</v>
      </c>
    </row>
    <row r="7" spans="1:13" ht="15" customHeight="1" x14ac:dyDescent="0.3">
      <c r="A7" s="61">
        <v>46083</v>
      </c>
      <c r="B7" s="13" t="s">
        <v>109</v>
      </c>
      <c r="C7" s="13" t="s">
        <v>53</v>
      </c>
      <c r="D7" s="13" t="s">
        <v>134</v>
      </c>
      <c r="E7" s="62">
        <v>96.4</v>
      </c>
      <c r="F7" s="40">
        <v>5</v>
      </c>
      <c r="H7" s="63">
        <v>46085</v>
      </c>
      <c r="I7" s="13" t="s">
        <v>268</v>
      </c>
      <c r="J7" s="13" t="s">
        <v>15</v>
      </c>
      <c r="K7" s="13" t="s">
        <v>264</v>
      </c>
      <c r="L7" s="62">
        <v>340.2</v>
      </c>
      <c r="M7" s="13">
        <v>13</v>
      </c>
    </row>
    <row r="8" spans="1:13" ht="15" customHeight="1" x14ac:dyDescent="0.3">
      <c r="A8" s="61">
        <v>46084</v>
      </c>
      <c r="B8" s="13" t="s">
        <v>94</v>
      </c>
      <c r="C8" s="13" t="s">
        <v>103</v>
      </c>
      <c r="D8" s="13" t="s">
        <v>68</v>
      </c>
      <c r="E8" s="62">
        <v>918.44</v>
      </c>
      <c r="F8" s="40">
        <v>7</v>
      </c>
      <c r="H8" s="63">
        <v>46086</v>
      </c>
      <c r="I8" s="13" t="s">
        <v>268</v>
      </c>
      <c r="J8" s="13" t="s">
        <v>281</v>
      </c>
      <c r="K8" s="13" t="s">
        <v>274</v>
      </c>
      <c r="L8" s="62">
        <v>1200</v>
      </c>
      <c r="M8" s="13">
        <v>18</v>
      </c>
    </row>
    <row r="9" spans="1:13" ht="15" customHeight="1" x14ac:dyDescent="0.3">
      <c r="A9" s="61">
        <v>46084</v>
      </c>
      <c r="B9" s="13" t="s">
        <v>94</v>
      </c>
      <c r="C9" s="13" t="s">
        <v>67</v>
      </c>
      <c r="D9" s="13" t="s">
        <v>77</v>
      </c>
      <c r="E9" s="62">
        <v>743.5</v>
      </c>
      <c r="F9" s="40">
        <v>8</v>
      </c>
      <c r="H9" s="63">
        <v>46087</v>
      </c>
      <c r="I9" s="13" t="s">
        <v>287</v>
      </c>
      <c r="J9" s="13" t="s">
        <v>277</v>
      </c>
      <c r="K9" s="13" t="s">
        <v>264</v>
      </c>
      <c r="L9" s="62">
        <v>275</v>
      </c>
      <c r="M9" s="13">
        <v>22</v>
      </c>
    </row>
    <row r="10" spans="1:13" ht="15" customHeight="1" x14ac:dyDescent="0.3">
      <c r="A10" s="61">
        <v>46084</v>
      </c>
      <c r="B10" s="13" t="s">
        <v>109</v>
      </c>
      <c r="C10" s="13" t="s">
        <v>340</v>
      </c>
      <c r="D10" s="13" t="s">
        <v>59</v>
      </c>
      <c r="E10" s="62">
        <v>54.8</v>
      </c>
      <c r="F10" s="40">
        <v>9</v>
      </c>
      <c r="H10" s="63">
        <v>46088</v>
      </c>
      <c r="I10" s="13" t="s">
        <v>263</v>
      </c>
      <c r="J10" s="13" t="s">
        <v>265</v>
      </c>
      <c r="K10" s="13" t="s">
        <v>264</v>
      </c>
      <c r="L10" s="62">
        <v>165</v>
      </c>
      <c r="M10" s="13">
        <v>26</v>
      </c>
    </row>
    <row r="11" spans="1:13" ht="15" customHeight="1" x14ac:dyDescent="0.3">
      <c r="A11" s="61">
        <v>46085</v>
      </c>
      <c r="B11" s="13" t="s">
        <v>94</v>
      </c>
      <c r="C11" s="13" t="s">
        <v>72</v>
      </c>
      <c r="D11" s="13" t="s">
        <v>81</v>
      </c>
      <c r="E11" s="62">
        <v>698.13</v>
      </c>
      <c r="F11" s="40">
        <v>11</v>
      </c>
      <c r="H11" s="63">
        <v>46089</v>
      </c>
      <c r="I11" s="13" t="s">
        <v>283</v>
      </c>
      <c r="J11" s="13" t="s">
        <v>284</v>
      </c>
      <c r="K11" s="13" t="s">
        <v>274</v>
      </c>
      <c r="L11" s="62">
        <v>205</v>
      </c>
      <c r="M11" s="13">
        <v>30</v>
      </c>
    </row>
    <row r="12" spans="1:13" ht="15" customHeight="1" x14ac:dyDescent="0.3">
      <c r="A12" s="61">
        <v>46085</v>
      </c>
      <c r="B12" s="13" t="s">
        <v>109</v>
      </c>
      <c r="C12" s="13" t="s">
        <v>138</v>
      </c>
      <c r="D12" s="13" t="s">
        <v>54</v>
      </c>
      <c r="E12" s="62">
        <v>214.1</v>
      </c>
      <c r="F12" s="40">
        <v>12</v>
      </c>
      <c r="H12" s="64">
        <v>46091</v>
      </c>
      <c r="I12" s="13" t="s">
        <v>310</v>
      </c>
      <c r="J12" s="13" t="s">
        <v>311</v>
      </c>
      <c r="K12" s="13" t="s">
        <v>274</v>
      </c>
      <c r="L12" s="62">
        <v>550</v>
      </c>
      <c r="M12" s="13">
        <v>36</v>
      </c>
    </row>
    <row r="13" spans="1:13" ht="15" customHeight="1" x14ac:dyDescent="0.3">
      <c r="A13" s="61">
        <v>46086</v>
      </c>
      <c r="B13" s="13" t="s">
        <v>109</v>
      </c>
      <c r="C13" s="13" t="s">
        <v>340</v>
      </c>
      <c r="D13" s="13" t="s">
        <v>81</v>
      </c>
      <c r="E13" s="62">
        <v>311.8</v>
      </c>
      <c r="F13" s="40">
        <v>14</v>
      </c>
      <c r="H13" s="64">
        <v>46092</v>
      </c>
      <c r="I13" s="13" t="s">
        <v>280</v>
      </c>
      <c r="J13" s="13" t="s">
        <v>15</v>
      </c>
      <c r="K13" s="13" t="s">
        <v>52</v>
      </c>
      <c r="L13" s="62">
        <v>410</v>
      </c>
      <c r="M13" s="13">
        <v>40</v>
      </c>
    </row>
    <row r="14" spans="1:13" ht="15" customHeight="1" x14ac:dyDescent="0.3">
      <c r="A14" s="61">
        <v>46086</v>
      </c>
      <c r="B14" s="13" t="s">
        <v>109</v>
      </c>
      <c r="C14" s="13" t="s">
        <v>99</v>
      </c>
      <c r="D14" s="13" t="s">
        <v>68</v>
      </c>
      <c r="E14" s="62">
        <v>358.05</v>
      </c>
      <c r="F14" s="40">
        <v>15</v>
      </c>
      <c r="H14" s="64">
        <v>46093</v>
      </c>
      <c r="I14" s="13" t="s">
        <v>268</v>
      </c>
      <c r="J14" s="13" t="s">
        <v>15</v>
      </c>
      <c r="K14" s="13" t="s">
        <v>264</v>
      </c>
      <c r="L14" s="62">
        <v>275.60000000000002</v>
      </c>
      <c r="M14" s="13">
        <v>42</v>
      </c>
    </row>
    <row r="15" spans="1:13" ht="15" customHeight="1" x14ac:dyDescent="0.3">
      <c r="A15" s="61">
        <v>46086</v>
      </c>
      <c r="B15" s="13" t="s">
        <v>109</v>
      </c>
      <c r="C15" s="13" t="s">
        <v>72</v>
      </c>
      <c r="D15" s="13" t="s">
        <v>68</v>
      </c>
      <c r="E15" s="62">
        <v>306.89</v>
      </c>
      <c r="F15" s="40">
        <v>16</v>
      </c>
      <c r="H15" s="64">
        <v>46093</v>
      </c>
      <c r="I15" s="13" t="s">
        <v>268</v>
      </c>
      <c r="J15" s="13" t="s">
        <v>15</v>
      </c>
      <c r="K15" s="13" t="s">
        <v>264</v>
      </c>
      <c r="L15" s="62">
        <v>122.75</v>
      </c>
      <c r="M15" s="13">
        <v>43</v>
      </c>
    </row>
    <row r="16" spans="1:13" ht="15" customHeight="1" x14ac:dyDescent="0.3">
      <c r="A16" s="61">
        <v>46086</v>
      </c>
      <c r="B16" s="13" t="s">
        <v>109</v>
      </c>
      <c r="C16" s="13" t="s">
        <v>340</v>
      </c>
      <c r="D16" s="13" t="s">
        <v>118</v>
      </c>
      <c r="E16" s="62">
        <v>72</v>
      </c>
      <c r="F16" s="40">
        <v>17</v>
      </c>
      <c r="H16" s="64">
        <v>46094</v>
      </c>
      <c r="I16" s="13" t="s">
        <v>263</v>
      </c>
      <c r="J16" s="13" t="s">
        <v>265</v>
      </c>
      <c r="K16" s="13" t="s">
        <v>264</v>
      </c>
      <c r="L16" s="62">
        <v>120</v>
      </c>
      <c r="M16" s="13">
        <v>48</v>
      </c>
    </row>
    <row r="17" spans="1:13" ht="15" customHeight="1" x14ac:dyDescent="0.3">
      <c r="A17" s="61">
        <v>46087</v>
      </c>
      <c r="B17" s="13" t="s">
        <v>109</v>
      </c>
      <c r="C17" s="13" t="s">
        <v>340</v>
      </c>
      <c r="D17" s="13" t="s">
        <v>77</v>
      </c>
      <c r="E17" s="62">
        <v>272.45</v>
      </c>
      <c r="F17" s="40">
        <v>19</v>
      </c>
      <c r="H17" s="64">
        <v>46095</v>
      </c>
      <c r="I17" s="13" t="s">
        <v>300</v>
      </c>
      <c r="J17" s="13" t="s">
        <v>301</v>
      </c>
      <c r="K17" s="13" t="s">
        <v>52</v>
      </c>
      <c r="L17" s="62">
        <v>3180</v>
      </c>
      <c r="M17" s="13">
        <v>53</v>
      </c>
    </row>
    <row r="18" spans="1:13" ht="15" customHeight="1" x14ac:dyDescent="0.3">
      <c r="A18" s="61">
        <v>46087</v>
      </c>
      <c r="B18" s="13" t="s">
        <v>109</v>
      </c>
      <c r="C18" s="13" t="s">
        <v>340</v>
      </c>
      <c r="D18" s="13" t="s">
        <v>64</v>
      </c>
      <c r="E18" s="62">
        <v>435.89</v>
      </c>
      <c r="F18" s="40">
        <v>20</v>
      </c>
      <c r="H18" s="64">
        <v>46096</v>
      </c>
      <c r="I18" s="13" t="s">
        <v>273</v>
      </c>
      <c r="J18" s="13" t="s">
        <v>273</v>
      </c>
      <c r="K18" s="13" t="s">
        <v>274</v>
      </c>
      <c r="L18" s="62">
        <v>1000</v>
      </c>
      <c r="M18" s="13">
        <v>57</v>
      </c>
    </row>
    <row r="19" spans="1:13" ht="15" customHeight="1" x14ac:dyDescent="0.3">
      <c r="A19" s="61">
        <v>46087</v>
      </c>
      <c r="B19" s="13" t="s">
        <v>94</v>
      </c>
      <c r="C19" s="13" t="s">
        <v>95</v>
      </c>
      <c r="D19" s="13" t="s">
        <v>92</v>
      </c>
      <c r="E19" s="62">
        <v>342.1</v>
      </c>
      <c r="F19" s="40">
        <v>21</v>
      </c>
      <c r="H19" s="64">
        <v>46096</v>
      </c>
      <c r="I19" s="13" t="s">
        <v>276</v>
      </c>
      <c r="J19" s="13" t="s">
        <v>277</v>
      </c>
      <c r="K19" s="13" t="s">
        <v>264</v>
      </c>
      <c r="L19" s="62">
        <v>260</v>
      </c>
      <c r="M19" s="13">
        <v>58</v>
      </c>
    </row>
    <row r="20" spans="1:13" ht="15" customHeight="1" x14ac:dyDescent="0.3">
      <c r="A20" s="61">
        <v>46088</v>
      </c>
      <c r="B20" s="13" t="s">
        <v>98</v>
      </c>
      <c r="C20" s="13" t="s">
        <v>72</v>
      </c>
      <c r="D20" s="13" t="s">
        <v>88</v>
      </c>
      <c r="E20" s="62">
        <v>328.25</v>
      </c>
      <c r="F20" s="40">
        <v>23</v>
      </c>
      <c r="H20" s="64">
        <v>46097</v>
      </c>
      <c r="I20" s="13" t="s">
        <v>280</v>
      </c>
      <c r="J20" s="13" t="s">
        <v>15</v>
      </c>
      <c r="K20" s="13" t="s">
        <v>264</v>
      </c>
      <c r="L20" s="62">
        <v>190</v>
      </c>
      <c r="M20" s="13">
        <v>61</v>
      </c>
    </row>
    <row r="21" spans="1:13" ht="15" customHeight="1" x14ac:dyDescent="0.3">
      <c r="A21" s="61">
        <v>46088</v>
      </c>
      <c r="B21" s="13" t="s">
        <v>109</v>
      </c>
      <c r="C21" s="13" t="s">
        <v>340</v>
      </c>
      <c r="D21" s="13" t="s">
        <v>54</v>
      </c>
      <c r="E21" s="62">
        <v>75.790000000000006</v>
      </c>
      <c r="F21" s="40">
        <v>24</v>
      </c>
      <c r="H21" s="64">
        <v>46098</v>
      </c>
      <c r="I21" s="13" t="s">
        <v>276</v>
      </c>
      <c r="J21" s="13" t="s">
        <v>277</v>
      </c>
      <c r="K21" s="13" t="s">
        <v>264</v>
      </c>
      <c r="L21" s="62">
        <v>180</v>
      </c>
      <c r="M21" s="13">
        <v>63</v>
      </c>
    </row>
    <row r="22" spans="1:13" ht="15" customHeight="1" x14ac:dyDescent="0.3">
      <c r="A22" s="61">
        <v>46088</v>
      </c>
      <c r="B22" s="13" t="s">
        <v>109</v>
      </c>
      <c r="C22" s="13" t="s">
        <v>133</v>
      </c>
      <c r="D22" s="13" t="s">
        <v>158</v>
      </c>
      <c r="E22" s="62">
        <v>465.3</v>
      </c>
      <c r="F22" s="40">
        <v>25</v>
      </c>
      <c r="H22" s="64">
        <v>46099</v>
      </c>
      <c r="I22" s="13" t="s">
        <v>283</v>
      </c>
      <c r="J22" s="13" t="s">
        <v>284</v>
      </c>
      <c r="K22" s="13" t="s">
        <v>274</v>
      </c>
      <c r="L22" s="62">
        <v>198.75</v>
      </c>
      <c r="M22" s="13">
        <v>68</v>
      </c>
    </row>
    <row r="23" spans="1:13" ht="15" customHeight="1" x14ac:dyDescent="0.3">
      <c r="A23" s="61">
        <v>46089</v>
      </c>
      <c r="B23" s="13" t="s">
        <v>109</v>
      </c>
      <c r="C23" s="13" t="s">
        <v>95</v>
      </c>
      <c r="D23" s="13" t="s">
        <v>118</v>
      </c>
      <c r="E23" s="62">
        <v>366.44</v>
      </c>
      <c r="F23" s="40">
        <v>27</v>
      </c>
      <c r="H23" s="64">
        <v>46100</v>
      </c>
      <c r="I23" s="13" t="s">
        <v>280</v>
      </c>
      <c r="J23" s="13" t="s">
        <v>281</v>
      </c>
      <c r="K23" s="13" t="s">
        <v>274</v>
      </c>
      <c r="L23" s="62">
        <v>950</v>
      </c>
      <c r="M23" s="13">
        <v>72</v>
      </c>
    </row>
    <row r="24" spans="1:13" ht="15" customHeight="1" x14ac:dyDescent="0.3">
      <c r="A24" s="61">
        <v>46089</v>
      </c>
      <c r="B24" s="13" t="s">
        <v>98</v>
      </c>
      <c r="C24" s="13" t="s">
        <v>95</v>
      </c>
      <c r="D24" s="13" t="s">
        <v>88</v>
      </c>
      <c r="E24" s="62">
        <v>511.54</v>
      </c>
      <c r="F24" s="40">
        <v>28</v>
      </c>
      <c r="H24" s="64">
        <v>46101</v>
      </c>
      <c r="I24" s="13" t="s">
        <v>276</v>
      </c>
      <c r="J24" s="13" t="s">
        <v>277</v>
      </c>
      <c r="K24" s="13" t="s">
        <v>264</v>
      </c>
      <c r="L24" s="62">
        <v>350</v>
      </c>
      <c r="M24" s="13">
        <v>75</v>
      </c>
    </row>
    <row r="25" spans="1:13" ht="15" customHeight="1" x14ac:dyDescent="0.3">
      <c r="A25" s="61">
        <v>46089</v>
      </c>
      <c r="B25" s="13" t="s">
        <v>94</v>
      </c>
      <c r="C25" s="13" t="s">
        <v>133</v>
      </c>
      <c r="D25" s="13" t="s">
        <v>54</v>
      </c>
      <c r="E25" s="62">
        <v>388.4</v>
      </c>
      <c r="F25" s="40">
        <v>29</v>
      </c>
      <c r="H25" s="64">
        <v>46102</v>
      </c>
      <c r="I25" s="13" t="s">
        <v>283</v>
      </c>
      <c r="J25" s="13" t="s">
        <v>284</v>
      </c>
      <c r="K25" s="13" t="s">
        <v>274</v>
      </c>
      <c r="L25" s="62">
        <v>176.2</v>
      </c>
      <c r="M25" s="13">
        <v>77</v>
      </c>
    </row>
    <row r="26" spans="1:13" ht="15" customHeight="1" x14ac:dyDescent="0.3">
      <c r="A26" s="61">
        <v>46090</v>
      </c>
      <c r="B26" s="13" t="s">
        <v>94</v>
      </c>
      <c r="C26" s="13" t="s">
        <v>133</v>
      </c>
      <c r="D26" s="13" t="s">
        <v>134</v>
      </c>
      <c r="E26" s="62">
        <v>572.04</v>
      </c>
      <c r="F26" s="40">
        <v>31</v>
      </c>
      <c r="H26" s="64">
        <v>46103</v>
      </c>
      <c r="I26" s="13" t="s">
        <v>268</v>
      </c>
      <c r="J26" s="13" t="s">
        <v>15</v>
      </c>
      <c r="K26" s="13" t="s">
        <v>264</v>
      </c>
      <c r="L26" s="62">
        <v>310.45</v>
      </c>
      <c r="M26" s="13">
        <v>84</v>
      </c>
    </row>
    <row r="27" spans="1:13" ht="15" customHeight="1" x14ac:dyDescent="0.3">
      <c r="A27" s="61">
        <v>46091</v>
      </c>
      <c r="B27" s="13" t="s">
        <v>109</v>
      </c>
      <c r="C27" s="13" t="s">
        <v>58</v>
      </c>
      <c r="D27" s="13" t="s">
        <v>59</v>
      </c>
      <c r="E27" s="62">
        <v>404.81</v>
      </c>
      <c r="F27" s="40">
        <v>32</v>
      </c>
      <c r="H27" s="64">
        <v>46104</v>
      </c>
      <c r="I27" s="13" t="s">
        <v>263</v>
      </c>
      <c r="J27" s="13" t="s">
        <v>265</v>
      </c>
      <c r="K27" s="13" t="s">
        <v>264</v>
      </c>
      <c r="L27" s="62">
        <v>75</v>
      </c>
      <c r="M27" s="13">
        <v>88</v>
      </c>
    </row>
    <row r="28" spans="1:13" ht="15" customHeight="1" x14ac:dyDescent="0.3">
      <c r="A28" s="61">
        <v>46091</v>
      </c>
      <c r="B28" s="13" t="s">
        <v>109</v>
      </c>
      <c r="C28" s="13" t="s">
        <v>76</v>
      </c>
      <c r="D28" s="13" t="s">
        <v>77</v>
      </c>
      <c r="E28" s="62">
        <v>276.26</v>
      </c>
      <c r="F28" s="40">
        <v>33</v>
      </c>
      <c r="H28" s="64">
        <v>46105</v>
      </c>
      <c r="I28" s="13" t="s">
        <v>287</v>
      </c>
      <c r="J28" s="13" t="s">
        <v>277</v>
      </c>
      <c r="K28" s="13" t="s">
        <v>274</v>
      </c>
      <c r="L28" s="62">
        <v>260</v>
      </c>
      <c r="M28" s="13">
        <v>91</v>
      </c>
    </row>
    <row r="29" spans="1:13" ht="15" customHeight="1" x14ac:dyDescent="0.3">
      <c r="A29" s="61">
        <v>46091</v>
      </c>
      <c r="B29" s="13" t="s">
        <v>109</v>
      </c>
      <c r="C29" s="13" t="s">
        <v>76</v>
      </c>
      <c r="D29" s="13" t="s">
        <v>64</v>
      </c>
      <c r="E29" s="62">
        <v>473.8</v>
      </c>
      <c r="F29" s="40">
        <v>34</v>
      </c>
      <c r="H29" s="64">
        <v>46106</v>
      </c>
      <c r="I29" s="13" t="s">
        <v>268</v>
      </c>
      <c r="J29" s="13" t="s">
        <v>15</v>
      </c>
      <c r="K29" s="13" t="s">
        <v>52</v>
      </c>
      <c r="L29" s="62">
        <v>365.75</v>
      </c>
      <c r="M29" s="13">
        <v>94</v>
      </c>
    </row>
    <row r="30" spans="1:13" ht="15" customHeight="1" x14ac:dyDescent="0.3">
      <c r="A30" s="61">
        <v>46091</v>
      </c>
      <c r="B30" s="13" t="s">
        <v>109</v>
      </c>
      <c r="C30" s="13" t="s">
        <v>340</v>
      </c>
      <c r="D30" s="13" t="s">
        <v>158</v>
      </c>
      <c r="E30" s="62">
        <v>29.99</v>
      </c>
      <c r="F30" s="40">
        <v>35</v>
      </c>
      <c r="H30" s="64">
        <v>46107</v>
      </c>
      <c r="I30" s="13" t="s">
        <v>263</v>
      </c>
      <c r="J30" s="13" t="s">
        <v>265</v>
      </c>
      <c r="K30" s="13" t="s">
        <v>264</v>
      </c>
      <c r="L30" s="62">
        <v>90</v>
      </c>
      <c r="M30" s="13">
        <v>99</v>
      </c>
    </row>
    <row r="31" spans="1:13" ht="15" customHeight="1" x14ac:dyDescent="0.3">
      <c r="A31" s="61">
        <v>46092</v>
      </c>
      <c r="B31" s="13" t="s">
        <v>109</v>
      </c>
      <c r="C31" s="13" t="s">
        <v>133</v>
      </c>
      <c r="D31" s="13" t="s">
        <v>64</v>
      </c>
      <c r="E31" s="62">
        <v>216.03</v>
      </c>
      <c r="F31" s="40">
        <v>37</v>
      </c>
      <c r="H31" s="64">
        <v>46108</v>
      </c>
      <c r="I31" s="13" t="s">
        <v>280</v>
      </c>
      <c r="J31" s="13" t="s">
        <v>15</v>
      </c>
      <c r="K31" s="13" t="s">
        <v>264</v>
      </c>
      <c r="L31" s="62">
        <v>88.4</v>
      </c>
      <c r="M31" s="13">
        <v>102</v>
      </c>
    </row>
    <row r="32" spans="1:13" ht="15" customHeight="1" x14ac:dyDescent="0.3">
      <c r="A32" s="61">
        <v>46092</v>
      </c>
      <c r="B32" s="13" t="s">
        <v>109</v>
      </c>
      <c r="C32" s="13" t="s">
        <v>340</v>
      </c>
      <c r="D32" s="13" t="s">
        <v>64</v>
      </c>
      <c r="E32" s="62">
        <v>289.98</v>
      </c>
      <c r="F32" s="40">
        <v>38</v>
      </c>
      <c r="H32" s="64">
        <v>46109</v>
      </c>
      <c r="I32" s="13" t="s">
        <v>300</v>
      </c>
      <c r="J32" s="13" t="s">
        <v>301</v>
      </c>
      <c r="K32" s="13" t="s">
        <v>52</v>
      </c>
      <c r="L32" s="62">
        <v>3225</v>
      </c>
      <c r="M32" s="13">
        <v>105</v>
      </c>
    </row>
    <row r="33" spans="1:13" ht="15" customHeight="1" x14ac:dyDescent="0.3">
      <c r="A33" s="61">
        <v>46092</v>
      </c>
      <c r="B33" s="13" t="s">
        <v>94</v>
      </c>
      <c r="C33" s="13" t="s">
        <v>72</v>
      </c>
      <c r="D33" s="13" t="s">
        <v>68</v>
      </c>
      <c r="E33" s="62">
        <v>478.25</v>
      </c>
      <c r="F33" s="40">
        <v>39</v>
      </c>
      <c r="H33" s="64">
        <v>46110</v>
      </c>
      <c r="I33" s="13" t="s">
        <v>268</v>
      </c>
      <c r="J33" s="13" t="s">
        <v>281</v>
      </c>
      <c r="K33" s="13" t="s">
        <v>274</v>
      </c>
      <c r="L33" s="62">
        <v>500</v>
      </c>
      <c r="M33" s="13">
        <v>108</v>
      </c>
    </row>
    <row r="34" spans="1:13" ht="15" customHeight="1" x14ac:dyDescent="0.3">
      <c r="A34" s="61">
        <v>46093</v>
      </c>
      <c r="B34" s="13" t="s">
        <v>94</v>
      </c>
      <c r="C34" s="13" t="s">
        <v>103</v>
      </c>
      <c r="D34" s="13" t="s">
        <v>81</v>
      </c>
      <c r="E34" s="62">
        <v>597.76</v>
      </c>
      <c r="F34" s="40">
        <v>41</v>
      </c>
      <c r="H34" s="64">
        <v>46111</v>
      </c>
      <c r="I34" s="13" t="s">
        <v>280</v>
      </c>
      <c r="J34" s="13" t="s">
        <v>15</v>
      </c>
      <c r="K34" s="13" t="s">
        <v>52</v>
      </c>
      <c r="L34" s="62">
        <v>228.9</v>
      </c>
      <c r="M34" s="13">
        <v>114</v>
      </c>
    </row>
    <row r="35" spans="1:13" ht="15" customHeight="1" x14ac:dyDescent="0.3">
      <c r="A35" s="61">
        <v>46094</v>
      </c>
      <c r="B35" s="13" t="s">
        <v>109</v>
      </c>
      <c r="C35" s="13" t="s">
        <v>67</v>
      </c>
      <c r="D35" s="13" t="s">
        <v>92</v>
      </c>
      <c r="E35" s="62">
        <v>253.32</v>
      </c>
      <c r="F35" s="40">
        <v>44</v>
      </c>
      <c r="H35" s="64">
        <v>46112</v>
      </c>
      <c r="I35" s="13" t="s">
        <v>310</v>
      </c>
      <c r="J35" s="13" t="s">
        <v>311</v>
      </c>
      <c r="K35" s="13" t="s">
        <v>274</v>
      </c>
      <c r="L35" s="62">
        <v>550</v>
      </c>
      <c r="M35" s="13">
        <v>117</v>
      </c>
    </row>
    <row r="36" spans="1:13" ht="15" customHeight="1" x14ac:dyDescent="0.3">
      <c r="A36" s="61">
        <v>46094</v>
      </c>
      <c r="B36" s="13" t="s">
        <v>109</v>
      </c>
      <c r="C36" s="13" t="s">
        <v>138</v>
      </c>
      <c r="D36" s="13" t="s">
        <v>118</v>
      </c>
      <c r="E36" s="62">
        <v>125.6</v>
      </c>
      <c r="F36" s="40">
        <v>45</v>
      </c>
    </row>
    <row r="37" spans="1:13" ht="15" customHeight="1" x14ac:dyDescent="0.3">
      <c r="A37" s="61">
        <v>46094</v>
      </c>
      <c r="B37" s="13" t="s">
        <v>94</v>
      </c>
      <c r="C37" s="13" t="s">
        <v>103</v>
      </c>
      <c r="D37" s="13" t="s">
        <v>158</v>
      </c>
      <c r="E37" s="62">
        <v>331.31</v>
      </c>
      <c r="F37" s="40">
        <v>46</v>
      </c>
    </row>
    <row r="38" spans="1:13" ht="15" customHeight="1" x14ac:dyDescent="0.3">
      <c r="A38" s="61">
        <v>46094</v>
      </c>
      <c r="B38" s="13" t="s">
        <v>94</v>
      </c>
      <c r="C38" s="13" t="s">
        <v>58</v>
      </c>
      <c r="D38" s="13" t="s">
        <v>68</v>
      </c>
      <c r="E38" s="62">
        <v>410</v>
      </c>
      <c r="F38" s="40">
        <v>47</v>
      </c>
    </row>
    <row r="39" spans="1:13" ht="15" customHeight="1" x14ac:dyDescent="0.3">
      <c r="A39" s="61">
        <v>46095</v>
      </c>
      <c r="B39" s="13" t="s">
        <v>109</v>
      </c>
      <c r="C39" s="13" t="s">
        <v>340</v>
      </c>
      <c r="D39" s="13" t="s">
        <v>64</v>
      </c>
      <c r="E39" s="62">
        <v>198.11</v>
      </c>
      <c r="F39" s="40">
        <v>49</v>
      </c>
    </row>
    <row r="40" spans="1:13" ht="15" customHeight="1" x14ac:dyDescent="0.3">
      <c r="A40" s="61">
        <v>46095</v>
      </c>
      <c r="B40" s="13" t="s">
        <v>109</v>
      </c>
      <c r="C40" s="13" t="s">
        <v>72</v>
      </c>
      <c r="D40" s="13" t="s">
        <v>77</v>
      </c>
      <c r="E40" s="62">
        <v>346.32</v>
      </c>
      <c r="F40" s="40">
        <v>50</v>
      </c>
    </row>
    <row r="41" spans="1:13" ht="15" customHeight="1" x14ac:dyDescent="0.3">
      <c r="A41" s="61">
        <v>46095</v>
      </c>
      <c r="B41" s="13" t="s">
        <v>109</v>
      </c>
      <c r="C41" s="13" t="s">
        <v>67</v>
      </c>
      <c r="D41" s="13" t="s">
        <v>134</v>
      </c>
      <c r="E41" s="62">
        <v>145.52000000000001</v>
      </c>
      <c r="F41" s="40">
        <v>51</v>
      </c>
    </row>
    <row r="42" spans="1:13" ht="15" customHeight="1" x14ac:dyDescent="0.3">
      <c r="A42" s="61">
        <v>46095</v>
      </c>
      <c r="B42" s="13" t="s">
        <v>98</v>
      </c>
      <c r="C42" s="13" t="s">
        <v>103</v>
      </c>
      <c r="D42" s="13" t="s">
        <v>88</v>
      </c>
      <c r="E42" s="62">
        <v>410</v>
      </c>
      <c r="F42" s="40">
        <v>52</v>
      </c>
    </row>
    <row r="43" spans="1:13" ht="15" customHeight="1" x14ac:dyDescent="0.3">
      <c r="A43" s="61">
        <v>46096</v>
      </c>
      <c r="B43" s="13" t="s">
        <v>94</v>
      </c>
      <c r="C43" s="13" t="s">
        <v>133</v>
      </c>
      <c r="D43" s="13" t="s">
        <v>68</v>
      </c>
      <c r="E43" s="62">
        <v>934.47</v>
      </c>
      <c r="F43" s="40">
        <v>54</v>
      </c>
    </row>
    <row r="44" spans="1:13" ht="15" customHeight="1" x14ac:dyDescent="0.3">
      <c r="A44" s="61">
        <v>46096</v>
      </c>
      <c r="B44" s="13" t="s">
        <v>109</v>
      </c>
      <c r="C44" s="13" t="s">
        <v>340</v>
      </c>
      <c r="D44" s="13" t="s">
        <v>134</v>
      </c>
      <c r="E44" s="62">
        <v>38.380000000000003</v>
      </c>
      <c r="F44" s="40">
        <v>55</v>
      </c>
    </row>
    <row r="45" spans="1:13" ht="15" customHeight="1" x14ac:dyDescent="0.3">
      <c r="A45" s="61">
        <v>46096</v>
      </c>
      <c r="B45" s="13" t="s">
        <v>109</v>
      </c>
      <c r="C45" s="13" t="s">
        <v>53</v>
      </c>
      <c r="D45" s="13" t="s">
        <v>134</v>
      </c>
      <c r="E45" s="62">
        <v>129.99</v>
      </c>
      <c r="F45" s="40">
        <v>56</v>
      </c>
    </row>
    <row r="46" spans="1:13" ht="15" customHeight="1" x14ac:dyDescent="0.3">
      <c r="A46" s="61">
        <v>46097</v>
      </c>
      <c r="B46" s="13" t="s">
        <v>94</v>
      </c>
      <c r="C46" s="13" t="s">
        <v>95</v>
      </c>
      <c r="D46" s="13" t="s">
        <v>81</v>
      </c>
      <c r="E46" s="62">
        <v>170.81</v>
      </c>
      <c r="F46" s="40">
        <v>59</v>
      </c>
    </row>
    <row r="47" spans="1:13" ht="15" customHeight="1" x14ac:dyDescent="0.3">
      <c r="A47" s="61">
        <v>46097</v>
      </c>
      <c r="B47" s="13" t="s">
        <v>109</v>
      </c>
      <c r="C47" s="13" t="s">
        <v>76</v>
      </c>
      <c r="D47" s="13" t="s">
        <v>77</v>
      </c>
      <c r="E47" s="62">
        <v>199.25</v>
      </c>
      <c r="F47" s="40">
        <v>60</v>
      </c>
    </row>
    <row r="48" spans="1:13" ht="15" customHeight="1" x14ac:dyDescent="0.3">
      <c r="A48" s="61">
        <v>46098</v>
      </c>
      <c r="B48" s="13" t="s">
        <v>109</v>
      </c>
      <c r="C48" s="13" t="s">
        <v>99</v>
      </c>
      <c r="D48" s="13" t="s">
        <v>81</v>
      </c>
      <c r="E48" s="62">
        <v>88.75</v>
      </c>
      <c r="F48" s="40">
        <v>62</v>
      </c>
    </row>
    <row r="49" spans="1:6" ht="15" customHeight="1" x14ac:dyDescent="0.3">
      <c r="A49" s="61">
        <v>46099</v>
      </c>
      <c r="B49" s="13" t="s">
        <v>94</v>
      </c>
      <c r="C49" s="13" t="s">
        <v>53</v>
      </c>
      <c r="D49" s="13" t="s">
        <v>54</v>
      </c>
      <c r="E49" s="62">
        <v>655.8</v>
      </c>
      <c r="F49" s="40">
        <v>64</v>
      </c>
    </row>
    <row r="50" spans="1:6" ht="15" customHeight="1" x14ac:dyDescent="0.3">
      <c r="A50" s="61">
        <v>46099</v>
      </c>
      <c r="B50" s="13" t="s">
        <v>109</v>
      </c>
      <c r="C50" s="13" t="s">
        <v>95</v>
      </c>
      <c r="D50" s="13" t="s">
        <v>59</v>
      </c>
      <c r="E50" s="62">
        <v>306.36</v>
      </c>
      <c r="F50" s="40">
        <v>65</v>
      </c>
    </row>
    <row r="51" spans="1:6" ht="15" customHeight="1" x14ac:dyDescent="0.3">
      <c r="A51" s="61">
        <v>46099</v>
      </c>
      <c r="B51" s="13" t="s">
        <v>98</v>
      </c>
      <c r="C51" s="13" t="s">
        <v>95</v>
      </c>
      <c r="D51" s="13" t="s">
        <v>88</v>
      </c>
      <c r="E51" s="62">
        <v>329.75</v>
      </c>
      <c r="F51" s="40">
        <v>66</v>
      </c>
    </row>
    <row r="52" spans="1:6" ht="15" customHeight="1" x14ac:dyDescent="0.3">
      <c r="A52" s="61">
        <v>46099</v>
      </c>
      <c r="B52" s="13" t="s">
        <v>94</v>
      </c>
      <c r="C52" s="13" t="s">
        <v>138</v>
      </c>
      <c r="D52" s="13" t="s">
        <v>64</v>
      </c>
      <c r="E52" s="62">
        <v>322.10000000000002</v>
      </c>
      <c r="F52" s="40">
        <v>67</v>
      </c>
    </row>
    <row r="53" spans="1:6" ht="15" customHeight="1" x14ac:dyDescent="0.3">
      <c r="A53" s="61">
        <v>46100</v>
      </c>
      <c r="B53" s="13" t="s">
        <v>109</v>
      </c>
      <c r="C53" s="13" t="s">
        <v>340</v>
      </c>
      <c r="D53" s="13" t="s">
        <v>134</v>
      </c>
      <c r="E53" s="62">
        <v>317.20999999999998</v>
      </c>
      <c r="F53" s="40">
        <v>69</v>
      </c>
    </row>
    <row r="54" spans="1:6" ht="15" customHeight="1" x14ac:dyDescent="0.3">
      <c r="A54" s="61">
        <v>46100</v>
      </c>
      <c r="B54" s="13" t="s">
        <v>109</v>
      </c>
      <c r="C54" s="13" t="s">
        <v>197</v>
      </c>
      <c r="D54" s="13" t="s">
        <v>77</v>
      </c>
      <c r="E54" s="62">
        <v>157.63</v>
      </c>
      <c r="F54" s="40">
        <v>70</v>
      </c>
    </row>
    <row r="55" spans="1:6" ht="15" customHeight="1" x14ac:dyDescent="0.3">
      <c r="A55" s="61">
        <v>46100</v>
      </c>
      <c r="B55" s="13" t="s">
        <v>94</v>
      </c>
      <c r="C55" s="13" t="s">
        <v>67</v>
      </c>
      <c r="D55" s="13" t="s">
        <v>68</v>
      </c>
      <c r="E55" s="62">
        <v>340</v>
      </c>
      <c r="F55" s="40">
        <v>71</v>
      </c>
    </row>
    <row r="56" spans="1:6" ht="15" customHeight="1" x14ac:dyDescent="0.3">
      <c r="A56" s="61">
        <v>46101</v>
      </c>
      <c r="B56" s="13" t="s">
        <v>109</v>
      </c>
      <c r="C56" s="13" t="s">
        <v>53</v>
      </c>
      <c r="D56" s="13" t="s">
        <v>64</v>
      </c>
      <c r="E56" s="62">
        <v>373.13</v>
      </c>
      <c r="F56" s="40">
        <v>73</v>
      </c>
    </row>
    <row r="57" spans="1:6" ht="15" customHeight="1" x14ac:dyDescent="0.3">
      <c r="A57" s="61">
        <v>46101</v>
      </c>
      <c r="B57" s="13" t="s">
        <v>94</v>
      </c>
      <c r="C57" s="13" t="s">
        <v>67</v>
      </c>
      <c r="D57" s="13" t="s">
        <v>64</v>
      </c>
      <c r="E57" s="62">
        <v>266.39999999999998</v>
      </c>
      <c r="F57" s="40">
        <v>74</v>
      </c>
    </row>
    <row r="58" spans="1:6" ht="15" customHeight="1" x14ac:dyDescent="0.3">
      <c r="A58" s="61">
        <v>46102</v>
      </c>
      <c r="B58" s="13" t="s">
        <v>109</v>
      </c>
      <c r="C58" s="13" t="s">
        <v>133</v>
      </c>
      <c r="D58" s="13" t="s">
        <v>158</v>
      </c>
      <c r="E58" s="62">
        <v>63.2</v>
      </c>
      <c r="F58" s="40">
        <v>76</v>
      </c>
    </row>
    <row r="59" spans="1:6" ht="15" customHeight="1" x14ac:dyDescent="0.3">
      <c r="A59" s="61">
        <v>46103</v>
      </c>
      <c r="B59" s="13" t="s">
        <v>98</v>
      </c>
      <c r="C59" s="13" t="s">
        <v>99</v>
      </c>
      <c r="D59" s="13" t="s">
        <v>88</v>
      </c>
      <c r="E59" s="62">
        <v>423.58</v>
      </c>
      <c r="F59" s="40">
        <v>78</v>
      </c>
    </row>
    <row r="60" spans="1:6" ht="15" customHeight="1" x14ac:dyDescent="0.3">
      <c r="A60" s="61">
        <v>46103</v>
      </c>
      <c r="B60" s="13" t="s">
        <v>94</v>
      </c>
      <c r="C60" s="13" t="s">
        <v>67</v>
      </c>
      <c r="D60" s="13" t="s">
        <v>64</v>
      </c>
      <c r="E60" s="62">
        <v>592.88</v>
      </c>
      <c r="F60" s="40">
        <v>79</v>
      </c>
    </row>
    <row r="61" spans="1:6" ht="15" customHeight="1" x14ac:dyDescent="0.3">
      <c r="A61" s="61">
        <v>46103</v>
      </c>
      <c r="B61" s="13" t="s">
        <v>109</v>
      </c>
      <c r="C61" s="13" t="s">
        <v>343</v>
      </c>
      <c r="D61" s="13" t="s">
        <v>81</v>
      </c>
      <c r="E61" s="62">
        <v>111.51</v>
      </c>
      <c r="F61" s="40">
        <v>80</v>
      </c>
    </row>
    <row r="62" spans="1:6" ht="15" customHeight="1" x14ac:dyDescent="0.3">
      <c r="A62" s="61">
        <v>46103</v>
      </c>
      <c r="B62" s="13" t="s">
        <v>94</v>
      </c>
      <c r="C62" s="13" t="s">
        <v>72</v>
      </c>
      <c r="D62" s="13" t="s">
        <v>59</v>
      </c>
      <c r="E62" s="62">
        <v>240.83</v>
      </c>
      <c r="F62" s="40">
        <v>81</v>
      </c>
    </row>
    <row r="63" spans="1:6" ht="15" customHeight="1" x14ac:dyDescent="0.3">
      <c r="A63" s="61">
        <v>46103</v>
      </c>
      <c r="B63" s="13" t="s">
        <v>94</v>
      </c>
      <c r="C63" s="13" t="s">
        <v>76</v>
      </c>
      <c r="D63" s="13" t="s">
        <v>64</v>
      </c>
      <c r="E63" s="62">
        <v>727.37</v>
      </c>
      <c r="F63" s="40">
        <v>82</v>
      </c>
    </row>
    <row r="64" spans="1:6" ht="15" customHeight="1" x14ac:dyDescent="0.3">
      <c r="A64" s="61">
        <v>46103</v>
      </c>
      <c r="B64" s="13" t="s">
        <v>109</v>
      </c>
      <c r="C64" s="13" t="s">
        <v>340</v>
      </c>
      <c r="D64" s="13" t="s">
        <v>92</v>
      </c>
      <c r="E64" s="62">
        <v>118.6</v>
      </c>
      <c r="F64" s="40">
        <v>83</v>
      </c>
    </row>
    <row r="65" spans="1:6" ht="15" customHeight="1" x14ac:dyDescent="0.3">
      <c r="A65" s="61">
        <v>46104</v>
      </c>
      <c r="B65" s="13" t="s">
        <v>109</v>
      </c>
      <c r="C65" s="13" t="s">
        <v>133</v>
      </c>
      <c r="D65" s="13" t="s">
        <v>54</v>
      </c>
      <c r="E65" s="62">
        <v>395.66</v>
      </c>
      <c r="F65" s="40">
        <v>85</v>
      </c>
    </row>
    <row r="66" spans="1:6" ht="15" customHeight="1" x14ac:dyDescent="0.3">
      <c r="A66" s="61">
        <v>46104</v>
      </c>
      <c r="B66" s="13" t="s">
        <v>109</v>
      </c>
      <c r="C66" s="13" t="s">
        <v>103</v>
      </c>
      <c r="D66" s="13" t="s">
        <v>68</v>
      </c>
      <c r="E66" s="62">
        <v>256.72000000000003</v>
      </c>
      <c r="F66" s="40">
        <v>86</v>
      </c>
    </row>
    <row r="67" spans="1:6" ht="15" customHeight="1" x14ac:dyDescent="0.3">
      <c r="A67" s="61">
        <v>46104</v>
      </c>
      <c r="B67" s="13" t="s">
        <v>98</v>
      </c>
      <c r="C67" s="13" t="s">
        <v>67</v>
      </c>
      <c r="D67" s="13" t="s">
        <v>88</v>
      </c>
      <c r="E67" s="62">
        <v>275</v>
      </c>
      <c r="F67" s="40">
        <v>87</v>
      </c>
    </row>
    <row r="68" spans="1:6" ht="15" customHeight="1" x14ac:dyDescent="0.3">
      <c r="A68" s="61">
        <v>46105</v>
      </c>
      <c r="B68" s="13" t="s">
        <v>94</v>
      </c>
      <c r="C68" s="13" t="s">
        <v>72</v>
      </c>
      <c r="D68" s="13" t="s">
        <v>64</v>
      </c>
      <c r="E68" s="62">
        <v>677.51</v>
      </c>
      <c r="F68" s="40">
        <v>89</v>
      </c>
    </row>
    <row r="69" spans="1:6" ht="15" customHeight="1" x14ac:dyDescent="0.3">
      <c r="A69" s="61">
        <v>46105</v>
      </c>
      <c r="B69" s="13" t="s">
        <v>94</v>
      </c>
      <c r="C69" s="13" t="s">
        <v>72</v>
      </c>
      <c r="D69" s="13" t="s">
        <v>59</v>
      </c>
      <c r="E69" s="62">
        <v>198.5</v>
      </c>
      <c r="F69" s="40">
        <v>90</v>
      </c>
    </row>
    <row r="70" spans="1:6" ht="15" customHeight="1" x14ac:dyDescent="0.3">
      <c r="A70" s="61">
        <v>46106</v>
      </c>
      <c r="B70" s="13" t="s">
        <v>94</v>
      </c>
      <c r="C70" s="13" t="s">
        <v>99</v>
      </c>
      <c r="D70" s="13" t="s">
        <v>68</v>
      </c>
      <c r="E70" s="62">
        <v>157.83000000000001</v>
      </c>
      <c r="F70" s="40">
        <v>92</v>
      </c>
    </row>
    <row r="71" spans="1:6" ht="15" customHeight="1" x14ac:dyDescent="0.3">
      <c r="A71" s="61">
        <v>46106</v>
      </c>
      <c r="B71" s="13" t="s">
        <v>109</v>
      </c>
      <c r="C71" s="13" t="s">
        <v>53</v>
      </c>
      <c r="D71" s="13" t="s">
        <v>54</v>
      </c>
      <c r="E71" s="62">
        <v>215.5</v>
      </c>
      <c r="F71" s="40">
        <v>93</v>
      </c>
    </row>
    <row r="72" spans="1:6" ht="15" customHeight="1" x14ac:dyDescent="0.3">
      <c r="A72" s="61">
        <v>46107</v>
      </c>
      <c r="B72" s="13" t="s">
        <v>98</v>
      </c>
      <c r="C72" s="13" t="s">
        <v>53</v>
      </c>
      <c r="D72" s="13" t="s">
        <v>88</v>
      </c>
      <c r="E72" s="62">
        <v>350.4</v>
      </c>
      <c r="F72" s="40">
        <v>95</v>
      </c>
    </row>
    <row r="73" spans="1:6" ht="15" customHeight="1" x14ac:dyDescent="0.3">
      <c r="A73" s="61">
        <v>46107</v>
      </c>
      <c r="B73" s="13" t="s">
        <v>109</v>
      </c>
      <c r="C73" s="13" t="s">
        <v>343</v>
      </c>
      <c r="D73" s="13" t="s">
        <v>68</v>
      </c>
      <c r="E73" s="62">
        <v>364.54</v>
      </c>
      <c r="F73" s="40">
        <v>96</v>
      </c>
    </row>
    <row r="74" spans="1:6" ht="15" customHeight="1" x14ac:dyDescent="0.3">
      <c r="A74" s="61">
        <v>46107</v>
      </c>
      <c r="B74" s="13" t="s">
        <v>98</v>
      </c>
      <c r="C74" s="13" t="s">
        <v>99</v>
      </c>
      <c r="D74" s="13" t="s">
        <v>88</v>
      </c>
      <c r="E74" s="62">
        <v>587.80999999999995</v>
      </c>
      <c r="F74" s="40">
        <v>97</v>
      </c>
    </row>
    <row r="75" spans="1:6" ht="15" customHeight="1" x14ac:dyDescent="0.3">
      <c r="A75" s="61">
        <v>46107</v>
      </c>
      <c r="B75" s="13" t="s">
        <v>98</v>
      </c>
      <c r="C75" s="13" t="s">
        <v>58</v>
      </c>
      <c r="D75" s="13" t="s">
        <v>88</v>
      </c>
      <c r="E75" s="62">
        <v>340</v>
      </c>
      <c r="F75" s="40">
        <v>98</v>
      </c>
    </row>
    <row r="76" spans="1:6" ht="15" customHeight="1" x14ac:dyDescent="0.3">
      <c r="A76" s="61">
        <v>46108</v>
      </c>
      <c r="B76" s="13" t="s">
        <v>109</v>
      </c>
      <c r="C76" s="13" t="s">
        <v>340</v>
      </c>
      <c r="D76" s="13" t="s">
        <v>118</v>
      </c>
      <c r="E76" s="62">
        <v>254.39</v>
      </c>
      <c r="F76" s="40">
        <v>100</v>
      </c>
    </row>
    <row r="77" spans="1:6" ht="15" customHeight="1" x14ac:dyDescent="0.3">
      <c r="A77" s="61">
        <v>46108</v>
      </c>
      <c r="B77" s="13" t="s">
        <v>109</v>
      </c>
      <c r="C77" s="13" t="s">
        <v>76</v>
      </c>
      <c r="D77" s="13" t="s">
        <v>118</v>
      </c>
      <c r="E77" s="62">
        <v>142.30000000000001</v>
      </c>
      <c r="F77" s="40">
        <v>101</v>
      </c>
    </row>
    <row r="78" spans="1:6" ht="15" customHeight="1" x14ac:dyDescent="0.3">
      <c r="A78" s="61">
        <v>46109</v>
      </c>
      <c r="B78" s="13" t="s">
        <v>109</v>
      </c>
      <c r="C78" s="13" t="s">
        <v>340</v>
      </c>
      <c r="D78" s="13" t="s">
        <v>54</v>
      </c>
      <c r="E78" s="62">
        <v>100.09</v>
      </c>
      <c r="F78" s="40">
        <v>103</v>
      </c>
    </row>
    <row r="79" spans="1:6" ht="15" customHeight="1" x14ac:dyDescent="0.3">
      <c r="A79" s="61">
        <v>46109</v>
      </c>
      <c r="B79" s="13" t="s">
        <v>109</v>
      </c>
      <c r="C79" s="13" t="s">
        <v>99</v>
      </c>
      <c r="D79" s="13" t="s">
        <v>81</v>
      </c>
      <c r="E79" s="62">
        <v>101.15</v>
      </c>
      <c r="F79" s="40">
        <v>104</v>
      </c>
    </row>
    <row r="80" spans="1:6" ht="15" customHeight="1" x14ac:dyDescent="0.3">
      <c r="A80" s="61">
        <v>46110</v>
      </c>
      <c r="B80" s="13" t="s">
        <v>109</v>
      </c>
      <c r="C80" s="13" t="s">
        <v>76</v>
      </c>
      <c r="D80" s="13" t="s">
        <v>134</v>
      </c>
      <c r="E80" s="62">
        <v>398.34</v>
      </c>
      <c r="F80" s="40">
        <v>106</v>
      </c>
    </row>
    <row r="81" spans="1:6" ht="15" customHeight="1" x14ac:dyDescent="0.3">
      <c r="A81" s="61">
        <v>46110</v>
      </c>
      <c r="B81" s="13" t="s">
        <v>109</v>
      </c>
      <c r="C81" s="13" t="s">
        <v>340</v>
      </c>
      <c r="D81" s="13" t="s">
        <v>81</v>
      </c>
      <c r="E81" s="62">
        <v>84.15</v>
      </c>
      <c r="F81" s="40">
        <v>107</v>
      </c>
    </row>
    <row r="82" spans="1:6" ht="15" customHeight="1" x14ac:dyDescent="0.3">
      <c r="A82" s="61">
        <v>46111</v>
      </c>
      <c r="B82" s="13" t="s">
        <v>94</v>
      </c>
      <c r="C82" s="13" t="s">
        <v>67</v>
      </c>
      <c r="D82" s="13" t="s">
        <v>68</v>
      </c>
      <c r="E82" s="62">
        <v>573.14</v>
      </c>
      <c r="F82" s="40">
        <v>109</v>
      </c>
    </row>
    <row r="83" spans="1:6" ht="15" customHeight="1" x14ac:dyDescent="0.3">
      <c r="A83" s="61">
        <v>46111</v>
      </c>
      <c r="B83" s="13" t="s">
        <v>98</v>
      </c>
      <c r="C83" s="13" t="s">
        <v>76</v>
      </c>
      <c r="D83" s="13" t="s">
        <v>88</v>
      </c>
      <c r="E83" s="62">
        <v>520.61</v>
      </c>
      <c r="F83" s="40">
        <v>110</v>
      </c>
    </row>
    <row r="84" spans="1:6" ht="15" customHeight="1" x14ac:dyDescent="0.3">
      <c r="A84" s="61">
        <v>46111</v>
      </c>
      <c r="B84" s="13" t="s">
        <v>98</v>
      </c>
      <c r="C84" s="13" t="s">
        <v>99</v>
      </c>
      <c r="D84" s="13" t="s">
        <v>88</v>
      </c>
      <c r="E84" s="62">
        <v>106.99</v>
      </c>
      <c r="F84" s="40">
        <v>111</v>
      </c>
    </row>
    <row r="85" spans="1:6" ht="15" customHeight="1" x14ac:dyDescent="0.3">
      <c r="A85" s="61">
        <v>46111</v>
      </c>
      <c r="B85" s="13" t="s">
        <v>109</v>
      </c>
      <c r="C85" s="13" t="s">
        <v>72</v>
      </c>
      <c r="D85" s="13" t="s">
        <v>118</v>
      </c>
      <c r="E85" s="62">
        <v>381.83</v>
      </c>
      <c r="F85" s="40">
        <v>112</v>
      </c>
    </row>
    <row r="86" spans="1:6" ht="15" customHeight="1" x14ac:dyDescent="0.3">
      <c r="A86" s="61">
        <v>46111</v>
      </c>
      <c r="B86" s="13" t="s">
        <v>109</v>
      </c>
      <c r="C86" s="13" t="s">
        <v>103</v>
      </c>
      <c r="D86" s="13" t="s">
        <v>92</v>
      </c>
      <c r="E86" s="62">
        <v>310.60000000000002</v>
      </c>
      <c r="F86" s="40">
        <v>113</v>
      </c>
    </row>
    <row r="87" spans="1:6" ht="15" customHeight="1" x14ac:dyDescent="0.3">
      <c r="A87" s="61">
        <v>46112</v>
      </c>
      <c r="B87" s="13" t="s">
        <v>109</v>
      </c>
      <c r="C87" s="13" t="s">
        <v>133</v>
      </c>
      <c r="D87" s="13" t="s">
        <v>64</v>
      </c>
      <c r="E87" s="62">
        <v>244.47</v>
      </c>
      <c r="F87" s="40">
        <v>115</v>
      </c>
    </row>
    <row r="88" spans="1:6" ht="15" customHeight="1" x14ac:dyDescent="0.3">
      <c r="A88" s="61">
        <v>46112</v>
      </c>
      <c r="B88" s="13" t="s">
        <v>94</v>
      </c>
      <c r="C88" s="13" t="s">
        <v>95</v>
      </c>
      <c r="D88" s="13" t="s">
        <v>77</v>
      </c>
      <c r="E88" s="62">
        <v>505</v>
      </c>
      <c r="F88" s="40">
        <v>116</v>
      </c>
    </row>
    <row r="89" spans="1:6" ht="15" customHeight="1" x14ac:dyDescent="0.3">
      <c r="E89" s="65"/>
    </row>
  </sheetData>
  <sheetProtection algorithmName="SHA-512" hashValue="HPP3krHKaAM/qVORKPd3CG7GbtiFKp4sfDaHQDUgavcAv9dv04eGk3+lyI/uAD0alSYD64VOpnTaK8N5avMTAQ==" saltValue="Ao+yCwxTkLiTv5J7kd8bwg==" spinCount="100000" sheet="1" objects="1" scenarios="1" selectLockedCells="1"/>
  <pageMargins left="0.7" right="0.7" top="0.75" bottom="0.75" header="0.511811023622047" footer="0.511811023622047"/>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E237"/>
  <sheetViews>
    <sheetView topLeftCell="A4" zoomScaleNormal="100" workbookViewId="0">
      <selection activeCell="C4" sqref="C4:C237"/>
    </sheetView>
    <sheetView tabSelected="1" workbookViewId="1">
      <selection activeCell="H13" sqref="H13"/>
    </sheetView>
  </sheetViews>
  <sheetFormatPr defaultColWidth="8.6640625" defaultRowHeight="14.4" x14ac:dyDescent="0.3"/>
  <cols>
    <col min="1" max="1" width="10.77734375" style="13" customWidth="1"/>
    <col min="2" max="2" width="9.77734375" style="13" customWidth="1"/>
    <col min="3" max="3" width="27.44140625" style="13" customWidth="1"/>
    <col min="4" max="7" width="10.77734375" style="13" customWidth="1"/>
    <col min="8" max="8" width="7.21875" style="13" customWidth="1"/>
    <col min="9" max="9" width="10.77734375" style="13" customWidth="1"/>
    <col min="10" max="12" width="11.77734375" style="13" customWidth="1"/>
    <col min="13" max="13" width="33.44140625" style="13" customWidth="1"/>
    <col min="14" max="16384" width="8.6640625" style="13"/>
  </cols>
  <sheetData>
    <row r="1" spans="1:5" ht="21" customHeight="1" x14ac:dyDescent="0.4">
      <c r="A1" s="12" t="s">
        <v>344</v>
      </c>
    </row>
    <row r="3" spans="1:5" ht="14.25" customHeight="1" x14ac:dyDescent="0.3">
      <c r="A3" s="50" t="s">
        <v>46</v>
      </c>
      <c r="B3" s="51" t="s">
        <v>339</v>
      </c>
      <c r="C3" s="51" t="s">
        <v>9</v>
      </c>
      <c r="D3" s="51" t="s">
        <v>10</v>
      </c>
      <c r="E3" s="50" t="s">
        <v>11</v>
      </c>
    </row>
    <row r="4" spans="1:5" ht="14.25" customHeight="1" x14ac:dyDescent="0.3">
      <c r="A4" s="52" t="s">
        <v>293</v>
      </c>
      <c r="B4" s="53">
        <v>1</v>
      </c>
      <c r="C4" s="53" t="s">
        <v>12</v>
      </c>
      <c r="D4" s="54">
        <v>177.24</v>
      </c>
      <c r="E4" s="52"/>
    </row>
    <row r="5" spans="1:5" ht="14.25" customHeight="1" x14ac:dyDescent="0.3">
      <c r="A5" s="55" t="s">
        <v>293</v>
      </c>
      <c r="B5" s="56">
        <v>1</v>
      </c>
      <c r="C5" s="56" t="s">
        <v>29</v>
      </c>
      <c r="D5" s="56"/>
      <c r="E5" s="57">
        <v>177.24</v>
      </c>
    </row>
    <row r="6" spans="1:5" ht="14.25" customHeight="1" x14ac:dyDescent="0.3">
      <c r="A6" s="52" t="s">
        <v>293</v>
      </c>
      <c r="B6" s="53">
        <v>2</v>
      </c>
      <c r="C6" s="53" t="s">
        <v>31</v>
      </c>
      <c r="D6" s="54">
        <v>2200</v>
      </c>
      <c r="E6" s="52"/>
    </row>
    <row r="7" spans="1:5" ht="14.25" customHeight="1" x14ac:dyDescent="0.3">
      <c r="A7" s="55" t="s">
        <v>293</v>
      </c>
      <c r="B7" s="56">
        <v>2</v>
      </c>
      <c r="C7" s="56" t="s">
        <v>12</v>
      </c>
      <c r="D7" s="56"/>
      <c r="E7" s="57">
        <v>2200</v>
      </c>
    </row>
    <row r="8" spans="1:5" ht="14.25" customHeight="1" x14ac:dyDescent="0.3">
      <c r="A8" s="52" t="s">
        <v>201</v>
      </c>
      <c r="B8" s="53">
        <v>3</v>
      </c>
      <c r="C8" s="53" t="s">
        <v>12</v>
      </c>
      <c r="D8" s="54">
        <v>419.24</v>
      </c>
      <c r="E8" s="52"/>
    </row>
    <row r="9" spans="1:5" ht="14.25" customHeight="1" x14ac:dyDescent="0.3">
      <c r="A9" s="55" t="s">
        <v>201</v>
      </c>
      <c r="B9" s="56">
        <v>3</v>
      </c>
      <c r="C9" s="56" t="s">
        <v>29</v>
      </c>
      <c r="D9" s="56"/>
      <c r="E9" s="57">
        <v>419.24</v>
      </c>
    </row>
    <row r="10" spans="1:5" ht="14.25" customHeight="1" x14ac:dyDescent="0.3">
      <c r="A10" s="52" t="s">
        <v>201</v>
      </c>
      <c r="B10" s="53">
        <v>4</v>
      </c>
      <c r="C10" s="53" t="s">
        <v>12</v>
      </c>
      <c r="D10" s="54">
        <v>59.88</v>
      </c>
      <c r="E10" s="52"/>
    </row>
    <row r="11" spans="1:5" ht="14.25" customHeight="1" x14ac:dyDescent="0.3">
      <c r="A11" s="55" t="s">
        <v>201</v>
      </c>
      <c r="B11" s="56">
        <v>4</v>
      </c>
      <c r="C11" s="56" t="s">
        <v>29</v>
      </c>
      <c r="D11" s="56"/>
      <c r="E11" s="57">
        <v>59.88</v>
      </c>
    </row>
    <row r="12" spans="1:5" ht="14.25" customHeight="1" x14ac:dyDescent="0.3">
      <c r="A12" s="52" t="s">
        <v>201</v>
      </c>
      <c r="B12" s="53">
        <v>5</v>
      </c>
      <c r="C12" s="53" t="s">
        <v>12</v>
      </c>
      <c r="D12" s="54">
        <v>96.4</v>
      </c>
      <c r="E12" s="52"/>
    </row>
    <row r="13" spans="1:5" ht="14.25" customHeight="1" x14ac:dyDescent="0.3">
      <c r="A13" s="55" t="s">
        <v>201</v>
      </c>
      <c r="B13" s="56">
        <v>5</v>
      </c>
      <c r="C13" s="56" t="s">
        <v>29</v>
      </c>
      <c r="D13" s="56"/>
      <c r="E13" s="57">
        <v>96.4</v>
      </c>
    </row>
    <row r="14" spans="1:5" ht="14.25" customHeight="1" x14ac:dyDescent="0.3">
      <c r="A14" s="52" t="s">
        <v>201</v>
      </c>
      <c r="B14" s="53">
        <v>6</v>
      </c>
      <c r="C14" s="53" t="s">
        <v>31</v>
      </c>
      <c r="D14" s="54">
        <v>2200</v>
      </c>
      <c r="E14" s="52"/>
    </row>
    <row r="15" spans="1:5" ht="14.25" customHeight="1" x14ac:dyDescent="0.3">
      <c r="A15" s="55" t="s">
        <v>201</v>
      </c>
      <c r="B15" s="56">
        <v>6</v>
      </c>
      <c r="C15" s="56" t="s">
        <v>12</v>
      </c>
      <c r="D15" s="56"/>
      <c r="E15" s="57">
        <v>2200</v>
      </c>
    </row>
    <row r="16" spans="1:5" ht="14.25" customHeight="1" x14ac:dyDescent="0.3">
      <c r="A16" s="52" t="s">
        <v>345</v>
      </c>
      <c r="B16" s="53">
        <v>7</v>
      </c>
      <c r="C16" s="53" t="s">
        <v>14</v>
      </c>
      <c r="D16" s="54">
        <v>918.44</v>
      </c>
      <c r="E16" s="52"/>
    </row>
    <row r="17" spans="1:5" ht="14.25" customHeight="1" x14ac:dyDescent="0.3">
      <c r="A17" s="55" t="s">
        <v>345</v>
      </c>
      <c r="B17" s="56">
        <v>7</v>
      </c>
      <c r="C17" s="56" t="s">
        <v>29</v>
      </c>
      <c r="D17" s="56"/>
      <c r="E17" s="57">
        <v>918.44</v>
      </c>
    </row>
    <row r="18" spans="1:5" ht="14.25" customHeight="1" x14ac:dyDescent="0.3">
      <c r="A18" s="52" t="s">
        <v>345</v>
      </c>
      <c r="B18" s="53">
        <v>8</v>
      </c>
      <c r="C18" s="53" t="s">
        <v>14</v>
      </c>
      <c r="D18" s="54">
        <v>743.5</v>
      </c>
      <c r="E18" s="52"/>
    </row>
    <row r="19" spans="1:5" ht="14.25" customHeight="1" x14ac:dyDescent="0.3">
      <c r="A19" s="55" t="s">
        <v>345</v>
      </c>
      <c r="B19" s="56">
        <v>8</v>
      </c>
      <c r="C19" s="56" t="s">
        <v>29</v>
      </c>
      <c r="D19" s="56"/>
      <c r="E19" s="57">
        <v>743.5</v>
      </c>
    </row>
    <row r="20" spans="1:5" ht="14.25" customHeight="1" x14ac:dyDescent="0.3">
      <c r="A20" s="52" t="s">
        <v>345</v>
      </c>
      <c r="B20" s="53">
        <v>9</v>
      </c>
      <c r="C20" s="53" t="s">
        <v>12</v>
      </c>
      <c r="D20" s="54">
        <v>54.8</v>
      </c>
      <c r="E20" s="52"/>
    </row>
    <row r="21" spans="1:5" ht="14.25" customHeight="1" x14ac:dyDescent="0.3">
      <c r="A21" s="55" t="s">
        <v>345</v>
      </c>
      <c r="B21" s="56">
        <v>9</v>
      </c>
      <c r="C21" s="56" t="s">
        <v>29</v>
      </c>
      <c r="D21" s="56"/>
      <c r="E21" s="57">
        <v>54.8</v>
      </c>
    </row>
    <row r="22" spans="1:5" ht="14.25" customHeight="1" x14ac:dyDescent="0.3">
      <c r="A22" s="52" t="s">
        <v>345</v>
      </c>
      <c r="B22" s="53">
        <v>10</v>
      </c>
      <c r="C22" s="53" t="s">
        <v>33</v>
      </c>
      <c r="D22" s="54">
        <v>214.5</v>
      </c>
      <c r="E22" s="52"/>
    </row>
    <row r="23" spans="1:5" ht="14.25" customHeight="1" x14ac:dyDescent="0.3">
      <c r="A23" s="55" t="s">
        <v>345</v>
      </c>
      <c r="B23" s="56">
        <v>10</v>
      </c>
      <c r="C23" s="56" t="s">
        <v>20</v>
      </c>
      <c r="D23" s="56"/>
      <c r="E23" s="57">
        <v>214.5</v>
      </c>
    </row>
    <row r="24" spans="1:5" ht="14.25" customHeight="1" x14ac:dyDescent="0.3">
      <c r="A24" s="52" t="s">
        <v>316</v>
      </c>
      <c r="B24" s="53">
        <v>11</v>
      </c>
      <c r="C24" s="53" t="s">
        <v>14</v>
      </c>
      <c r="D24" s="54">
        <v>698.13</v>
      </c>
      <c r="E24" s="52"/>
    </row>
    <row r="25" spans="1:5" ht="14.25" customHeight="1" x14ac:dyDescent="0.3">
      <c r="A25" s="55" t="s">
        <v>316</v>
      </c>
      <c r="B25" s="56">
        <v>11</v>
      </c>
      <c r="C25" s="56" t="s">
        <v>29</v>
      </c>
      <c r="D25" s="56"/>
      <c r="E25" s="57">
        <v>698.13</v>
      </c>
    </row>
    <row r="26" spans="1:5" ht="14.25" customHeight="1" x14ac:dyDescent="0.3">
      <c r="A26" s="52" t="s">
        <v>316</v>
      </c>
      <c r="B26" s="53">
        <v>12</v>
      </c>
      <c r="C26" s="53" t="s">
        <v>12</v>
      </c>
      <c r="D26" s="54">
        <v>214.1</v>
      </c>
      <c r="E26" s="52"/>
    </row>
    <row r="27" spans="1:5" ht="14.25" customHeight="1" x14ac:dyDescent="0.3">
      <c r="A27" s="55" t="s">
        <v>316</v>
      </c>
      <c r="B27" s="56">
        <v>12</v>
      </c>
      <c r="C27" s="56" t="s">
        <v>29</v>
      </c>
      <c r="D27" s="56"/>
      <c r="E27" s="57">
        <v>214.1</v>
      </c>
    </row>
    <row r="28" spans="1:5" ht="14.25" customHeight="1" x14ac:dyDescent="0.3">
      <c r="A28" s="52" t="s">
        <v>316</v>
      </c>
      <c r="B28" s="53">
        <v>13</v>
      </c>
      <c r="C28" s="53" t="s">
        <v>15</v>
      </c>
      <c r="D28" s="54">
        <v>340.2</v>
      </c>
      <c r="E28" s="52"/>
    </row>
    <row r="29" spans="1:5" ht="14.25" customHeight="1" x14ac:dyDescent="0.3">
      <c r="A29" s="55" t="s">
        <v>316</v>
      </c>
      <c r="B29" s="56">
        <v>13</v>
      </c>
      <c r="C29" s="56" t="s">
        <v>12</v>
      </c>
      <c r="D29" s="56"/>
      <c r="E29" s="57">
        <v>340.2</v>
      </c>
    </row>
    <row r="30" spans="1:5" ht="14.25" customHeight="1" x14ac:dyDescent="0.3">
      <c r="A30" s="52" t="s">
        <v>79</v>
      </c>
      <c r="B30" s="53">
        <v>14</v>
      </c>
      <c r="C30" s="53" t="s">
        <v>12</v>
      </c>
      <c r="D30" s="54">
        <v>311.8</v>
      </c>
      <c r="E30" s="52"/>
    </row>
    <row r="31" spans="1:5" ht="14.25" customHeight="1" x14ac:dyDescent="0.3">
      <c r="A31" s="55" t="s">
        <v>79</v>
      </c>
      <c r="B31" s="56">
        <v>14</v>
      </c>
      <c r="C31" s="56" t="s">
        <v>29</v>
      </c>
      <c r="D31" s="56"/>
      <c r="E31" s="57">
        <v>311.8</v>
      </c>
    </row>
    <row r="32" spans="1:5" ht="14.25" customHeight="1" x14ac:dyDescent="0.3">
      <c r="A32" s="52" t="s">
        <v>79</v>
      </c>
      <c r="B32" s="53">
        <v>15</v>
      </c>
      <c r="C32" s="53" t="s">
        <v>12</v>
      </c>
      <c r="D32" s="54">
        <v>358.05</v>
      </c>
      <c r="E32" s="52"/>
    </row>
    <row r="33" spans="1:5" ht="14.25" customHeight="1" x14ac:dyDescent="0.3">
      <c r="A33" s="55" t="s">
        <v>79</v>
      </c>
      <c r="B33" s="56">
        <v>15</v>
      </c>
      <c r="C33" s="56" t="s">
        <v>29</v>
      </c>
      <c r="D33" s="56"/>
      <c r="E33" s="57">
        <v>358.05</v>
      </c>
    </row>
    <row r="34" spans="1:5" ht="14.25" customHeight="1" x14ac:dyDescent="0.3">
      <c r="A34" s="52" t="s">
        <v>79</v>
      </c>
      <c r="B34" s="53">
        <v>16</v>
      </c>
      <c r="C34" s="53" t="s">
        <v>12</v>
      </c>
      <c r="D34" s="54">
        <v>306.89</v>
      </c>
      <c r="E34" s="52"/>
    </row>
    <row r="35" spans="1:5" ht="14.25" customHeight="1" x14ac:dyDescent="0.3">
      <c r="A35" s="55" t="s">
        <v>79</v>
      </c>
      <c r="B35" s="56">
        <v>16</v>
      </c>
      <c r="C35" s="56" t="s">
        <v>29</v>
      </c>
      <c r="D35" s="56"/>
      <c r="E35" s="57">
        <v>306.89</v>
      </c>
    </row>
    <row r="36" spans="1:5" ht="14.25" customHeight="1" x14ac:dyDescent="0.3">
      <c r="A36" s="52" t="s">
        <v>79</v>
      </c>
      <c r="B36" s="53">
        <v>17</v>
      </c>
      <c r="C36" s="53" t="s">
        <v>12</v>
      </c>
      <c r="D36" s="54">
        <v>72</v>
      </c>
      <c r="E36" s="52"/>
    </row>
    <row r="37" spans="1:5" ht="14.25" customHeight="1" x14ac:dyDescent="0.3">
      <c r="A37" s="55" t="s">
        <v>79</v>
      </c>
      <c r="B37" s="56">
        <v>17</v>
      </c>
      <c r="C37" s="56" t="s">
        <v>29</v>
      </c>
      <c r="D37" s="56"/>
      <c r="E37" s="57">
        <v>72</v>
      </c>
    </row>
    <row r="38" spans="1:5" ht="14.25" customHeight="1" x14ac:dyDescent="0.3">
      <c r="A38" s="52" t="s">
        <v>79</v>
      </c>
      <c r="B38" s="53">
        <v>18</v>
      </c>
      <c r="C38" s="53" t="s">
        <v>20</v>
      </c>
      <c r="D38" s="54">
        <v>1200</v>
      </c>
      <c r="E38" s="52"/>
    </row>
    <row r="39" spans="1:5" ht="14.25" customHeight="1" x14ac:dyDescent="0.3">
      <c r="A39" s="55" t="s">
        <v>79</v>
      </c>
      <c r="B39" s="56">
        <v>18</v>
      </c>
      <c r="C39" s="56" t="s">
        <v>12</v>
      </c>
      <c r="D39" s="56"/>
      <c r="E39" s="57">
        <v>1200</v>
      </c>
    </row>
    <row r="40" spans="1:5" ht="14.25" customHeight="1" x14ac:dyDescent="0.3">
      <c r="A40" s="52" t="s">
        <v>232</v>
      </c>
      <c r="B40" s="53">
        <v>19</v>
      </c>
      <c r="C40" s="53" t="s">
        <v>12</v>
      </c>
      <c r="D40" s="54">
        <v>272.45</v>
      </c>
      <c r="E40" s="52"/>
    </row>
    <row r="41" spans="1:5" ht="14.25" customHeight="1" x14ac:dyDescent="0.3">
      <c r="A41" s="55" t="s">
        <v>232</v>
      </c>
      <c r="B41" s="56">
        <v>19</v>
      </c>
      <c r="C41" s="56" t="s">
        <v>29</v>
      </c>
      <c r="D41" s="56"/>
      <c r="E41" s="57">
        <v>272.45</v>
      </c>
    </row>
    <row r="42" spans="1:5" ht="14.25" customHeight="1" x14ac:dyDescent="0.3">
      <c r="A42" s="52" t="s">
        <v>232</v>
      </c>
      <c r="B42" s="53">
        <v>20</v>
      </c>
      <c r="C42" s="53" t="s">
        <v>12</v>
      </c>
      <c r="D42" s="54">
        <v>435.89</v>
      </c>
      <c r="E42" s="52"/>
    </row>
    <row r="43" spans="1:5" ht="14.25" customHeight="1" x14ac:dyDescent="0.3">
      <c r="A43" s="55" t="s">
        <v>232</v>
      </c>
      <c r="B43" s="56">
        <v>20</v>
      </c>
      <c r="C43" s="56" t="s">
        <v>29</v>
      </c>
      <c r="D43" s="56"/>
      <c r="E43" s="57">
        <v>435.89</v>
      </c>
    </row>
    <row r="44" spans="1:5" ht="14.25" customHeight="1" x14ac:dyDescent="0.3">
      <c r="A44" s="52" t="s">
        <v>232</v>
      </c>
      <c r="B44" s="53">
        <v>21</v>
      </c>
      <c r="C44" s="53" t="s">
        <v>14</v>
      </c>
      <c r="D44" s="54">
        <v>342.1</v>
      </c>
      <c r="E44" s="52"/>
    </row>
    <row r="45" spans="1:5" ht="14.25" customHeight="1" x14ac:dyDescent="0.3">
      <c r="A45" s="55" t="s">
        <v>232</v>
      </c>
      <c r="B45" s="56">
        <v>21</v>
      </c>
      <c r="C45" s="56" t="s">
        <v>29</v>
      </c>
      <c r="D45" s="56"/>
      <c r="E45" s="57">
        <v>342.1</v>
      </c>
    </row>
    <row r="46" spans="1:5" ht="14.25" customHeight="1" x14ac:dyDescent="0.3">
      <c r="A46" s="52" t="s">
        <v>232</v>
      </c>
      <c r="B46" s="53">
        <v>22</v>
      </c>
      <c r="C46" s="53" t="s">
        <v>38</v>
      </c>
      <c r="D46" s="54">
        <v>275</v>
      </c>
      <c r="E46" s="52"/>
    </row>
    <row r="47" spans="1:5" ht="14.25" customHeight="1" x14ac:dyDescent="0.3">
      <c r="A47" s="55" t="s">
        <v>232</v>
      </c>
      <c r="B47" s="56">
        <v>22</v>
      </c>
      <c r="C47" s="56" t="s">
        <v>12</v>
      </c>
      <c r="D47" s="56"/>
      <c r="E47" s="57">
        <v>275</v>
      </c>
    </row>
    <row r="48" spans="1:5" ht="14.25" customHeight="1" x14ac:dyDescent="0.3">
      <c r="A48" s="52" t="s">
        <v>271</v>
      </c>
      <c r="B48" s="53">
        <v>23</v>
      </c>
      <c r="C48" s="53" t="s">
        <v>12</v>
      </c>
      <c r="D48" s="54">
        <v>328.25</v>
      </c>
      <c r="E48" s="52"/>
    </row>
    <row r="49" spans="1:5" ht="14.25" customHeight="1" x14ac:dyDescent="0.3">
      <c r="A49" s="55" t="s">
        <v>271</v>
      </c>
      <c r="B49" s="56">
        <v>23</v>
      </c>
      <c r="C49" s="56" t="s">
        <v>14</v>
      </c>
      <c r="D49" s="56"/>
      <c r="E49" s="57">
        <v>328.25</v>
      </c>
    </row>
    <row r="50" spans="1:5" ht="14.25" customHeight="1" x14ac:dyDescent="0.3">
      <c r="A50" s="52" t="s">
        <v>271</v>
      </c>
      <c r="B50" s="53">
        <v>24</v>
      </c>
      <c r="C50" s="53" t="s">
        <v>12</v>
      </c>
      <c r="D50" s="54">
        <v>75.790000000000006</v>
      </c>
      <c r="E50" s="52"/>
    </row>
    <row r="51" spans="1:5" ht="14.25" customHeight="1" x14ac:dyDescent="0.3">
      <c r="A51" s="55" t="s">
        <v>271</v>
      </c>
      <c r="B51" s="56">
        <v>24</v>
      </c>
      <c r="C51" s="56" t="s">
        <v>29</v>
      </c>
      <c r="D51" s="56"/>
      <c r="E51" s="57">
        <v>75.790000000000006</v>
      </c>
    </row>
    <row r="52" spans="1:5" ht="14.25" customHeight="1" x14ac:dyDescent="0.3">
      <c r="A52" s="52" t="s">
        <v>271</v>
      </c>
      <c r="B52" s="53">
        <v>25</v>
      </c>
      <c r="C52" s="53" t="s">
        <v>12</v>
      </c>
      <c r="D52" s="54">
        <v>465.3</v>
      </c>
      <c r="E52" s="52"/>
    </row>
    <row r="53" spans="1:5" ht="14.25" customHeight="1" x14ac:dyDescent="0.3">
      <c r="A53" s="55" t="s">
        <v>271</v>
      </c>
      <c r="B53" s="56">
        <v>25</v>
      </c>
      <c r="C53" s="56" t="s">
        <v>29</v>
      </c>
      <c r="D53" s="56"/>
      <c r="E53" s="57">
        <v>465.3</v>
      </c>
    </row>
    <row r="54" spans="1:5" ht="14.25" customHeight="1" x14ac:dyDescent="0.3">
      <c r="A54" s="52" t="s">
        <v>271</v>
      </c>
      <c r="B54" s="53">
        <v>26</v>
      </c>
      <c r="C54" s="53" t="s">
        <v>39</v>
      </c>
      <c r="D54" s="54">
        <v>165</v>
      </c>
      <c r="E54" s="52"/>
    </row>
    <row r="55" spans="1:5" ht="14.25" customHeight="1" x14ac:dyDescent="0.3">
      <c r="A55" s="55" t="s">
        <v>271</v>
      </c>
      <c r="B55" s="56">
        <v>26</v>
      </c>
      <c r="C55" s="56" t="s">
        <v>12</v>
      </c>
      <c r="D55" s="56"/>
      <c r="E55" s="57">
        <v>165</v>
      </c>
    </row>
    <row r="56" spans="1:5" ht="14.25" customHeight="1" x14ac:dyDescent="0.3">
      <c r="A56" s="52" t="s">
        <v>144</v>
      </c>
      <c r="B56" s="53">
        <v>27</v>
      </c>
      <c r="C56" s="53" t="s">
        <v>12</v>
      </c>
      <c r="D56" s="54">
        <v>366.44</v>
      </c>
      <c r="E56" s="52"/>
    </row>
    <row r="57" spans="1:5" ht="14.25" customHeight="1" x14ac:dyDescent="0.3">
      <c r="A57" s="55" t="s">
        <v>144</v>
      </c>
      <c r="B57" s="56">
        <v>27</v>
      </c>
      <c r="C57" s="56" t="s">
        <v>29</v>
      </c>
      <c r="D57" s="56"/>
      <c r="E57" s="57">
        <v>366.44</v>
      </c>
    </row>
    <row r="58" spans="1:5" ht="14.25" customHeight="1" x14ac:dyDescent="0.3">
      <c r="A58" s="52" t="s">
        <v>144</v>
      </c>
      <c r="B58" s="53">
        <v>28</v>
      </c>
      <c r="C58" s="53" t="s">
        <v>12</v>
      </c>
      <c r="D58" s="54">
        <v>511.54</v>
      </c>
      <c r="E58" s="52"/>
    </row>
    <row r="59" spans="1:5" ht="14.25" customHeight="1" x14ac:dyDescent="0.3">
      <c r="A59" s="55" t="s">
        <v>144</v>
      </c>
      <c r="B59" s="56">
        <v>28</v>
      </c>
      <c r="C59" s="56" t="s">
        <v>14</v>
      </c>
      <c r="D59" s="56"/>
      <c r="E59" s="57">
        <v>511.54</v>
      </c>
    </row>
    <row r="60" spans="1:5" ht="14.25" customHeight="1" x14ac:dyDescent="0.3">
      <c r="A60" s="52" t="s">
        <v>144</v>
      </c>
      <c r="B60" s="53">
        <v>29</v>
      </c>
      <c r="C60" s="53" t="s">
        <v>14</v>
      </c>
      <c r="D60" s="54">
        <v>388.4</v>
      </c>
      <c r="E60" s="52"/>
    </row>
    <row r="61" spans="1:5" ht="14.25" customHeight="1" x14ac:dyDescent="0.3">
      <c r="A61" s="55" t="s">
        <v>144</v>
      </c>
      <c r="B61" s="56">
        <v>29</v>
      </c>
      <c r="C61" s="56" t="s">
        <v>29</v>
      </c>
      <c r="D61" s="56"/>
      <c r="E61" s="57">
        <v>388.4</v>
      </c>
    </row>
    <row r="62" spans="1:5" ht="14.25" customHeight="1" x14ac:dyDescent="0.3">
      <c r="A62" s="52" t="s">
        <v>144</v>
      </c>
      <c r="B62" s="53">
        <v>30</v>
      </c>
      <c r="C62" s="53" t="s">
        <v>33</v>
      </c>
      <c r="D62" s="54">
        <v>205</v>
      </c>
      <c r="E62" s="52"/>
    </row>
    <row r="63" spans="1:5" ht="14.25" customHeight="1" x14ac:dyDescent="0.3">
      <c r="A63" s="55" t="s">
        <v>144</v>
      </c>
      <c r="B63" s="56">
        <v>30</v>
      </c>
      <c r="C63" s="56" t="s">
        <v>12</v>
      </c>
      <c r="D63" s="56"/>
      <c r="E63" s="57">
        <v>205</v>
      </c>
    </row>
    <row r="64" spans="1:5" ht="14.25" customHeight="1" x14ac:dyDescent="0.3">
      <c r="A64" s="52" t="s">
        <v>346</v>
      </c>
      <c r="B64" s="53">
        <v>31</v>
      </c>
      <c r="C64" s="53" t="s">
        <v>14</v>
      </c>
      <c r="D64" s="54">
        <v>572.04</v>
      </c>
      <c r="E64" s="52"/>
    </row>
    <row r="65" spans="1:5" ht="14.25" customHeight="1" x14ac:dyDescent="0.3">
      <c r="A65" s="55" t="s">
        <v>346</v>
      </c>
      <c r="B65" s="56">
        <v>31</v>
      </c>
      <c r="C65" s="56" t="s">
        <v>29</v>
      </c>
      <c r="D65" s="56"/>
      <c r="E65" s="57">
        <v>572.04</v>
      </c>
    </row>
    <row r="66" spans="1:5" ht="14.25" customHeight="1" x14ac:dyDescent="0.3">
      <c r="A66" s="52" t="s">
        <v>56</v>
      </c>
      <c r="B66" s="53">
        <v>32</v>
      </c>
      <c r="C66" s="53" t="s">
        <v>12</v>
      </c>
      <c r="D66" s="54">
        <v>404.81</v>
      </c>
      <c r="E66" s="52"/>
    </row>
    <row r="67" spans="1:5" ht="14.25" customHeight="1" x14ac:dyDescent="0.3">
      <c r="A67" s="55" t="s">
        <v>56</v>
      </c>
      <c r="B67" s="56">
        <v>32</v>
      </c>
      <c r="C67" s="56" t="s">
        <v>29</v>
      </c>
      <c r="D67" s="56"/>
      <c r="E67" s="57">
        <v>404.81</v>
      </c>
    </row>
    <row r="68" spans="1:5" ht="14.25" customHeight="1" x14ac:dyDescent="0.3">
      <c r="A68" s="52" t="s">
        <v>56</v>
      </c>
      <c r="B68" s="53">
        <v>33</v>
      </c>
      <c r="C68" s="53" t="s">
        <v>12</v>
      </c>
      <c r="D68" s="54">
        <v>276.26</v>
      </c>
      <c r="E68" s="52"/>
    </row>
    <row r="69" spans="1:5" ht="14.25" customHeight="1" x14ac:dyDescent="0.3">
      <c r="A69" s="55" t="s">
        <v>56</v>
      </c>
      <c r="B69" s="56">
        <v>33</v>
      </c>
      <c r="C69" s="56" t="s">
        <v>29</v>
      </c>
      <c r="D69" s="56"/>
      <c r="E69" s="57">
        <v>276.26</v>
      </c>
    </row>
    <row r="70" spans="1:5" ht="14.25" customHeight="1" x14ac:dyDescent="0.3">
      <c r="A70" s="52" t="s">
        <v>56</v>
      </c>
      <c r="B70" s="53">
        <v>34</v>
      </c>
      <c r="C70" s="53" t="s">
        <v>12</v>
      </c>
      <c r="D70" s="54">
        <v>473.8</v>
      </c>
      <c r="E70" s="52"/>
    </row>
    <row r="71" spans="1:5" ht="14.25" customHeight="1" x14ac:dyDescent="0.3">
      <c r="A71" s="55" t="s">
        <v>56</v>
      </c>
      <c r="B71" s="56">
        <v>34</v>
      </c>
      <c r="C71" s="56" t="s">
        <v>29</v>
      </c>
      <c r="D71" s="56"/>
      <c r="E71" s="57">
        <v>473.8</v>
      </c>
    </row>
    <row r="72" spans="1:5" ht="14.25" customHeight="1" x14ac:dyDescent="0.3">
      <c r="A72" s="52" t="s">
        <v>56</v>
      </c>
      <c r="B72" s="53">
        <v>35</v>
      </c>
      <c r="C72" s="53" t="s">
        <v>12</v>
      </c>
      <c r="D72" s="54">
        <v>29.99</v>
      </c>
      <c r="E72" s="52"/>
    </row>
    <row r="73" spans="1:5" ht="14.25" customHeight="1" x14ac:dyDescent="0.3">
      <c r="A73" s="55" t="s">
        <v>56</v>
      </c>
      <c r="B73" s="56">
        <v>35</v>
      </c>
      <c r="C73" s="56" t="s">
        <v>29</v>
      </c>
      <c r="D73" s="56"/>
      <c r="E73" s="57">
        <v>29.99</v>
      </c>
    </row>
    <row r="74" spans="1:5" ht="14.25" customHeight="1" x14ac:dyDescent="0.3">
      <c r="A74" s="52" t="s">
        <v>56</v>
      </c>
      <c r="B74" s="53">
        <v>36</v>
      </c>
      <c r="C74" s="53" t="s">
        <v>24</v>
      </c>
      <c r="D74" s="54">
        <v>550</v>
      </c>
      <c r="E74" s="52"/>
    </row>
    <row r="75" spans="1:5" ht="14.25" customHeight="1" x14ac:dyDescent="0.3">
      <c r="A75" s="55" t="s">
        <v>56</v>
      </c>
      <c r="B75" s="56">
        <v>36</v>
      </c>
      <c r="C75" s="56" t="s">
        <v>12</v>
      </c>
      <c r="D75" s="56"/>
      <c r="E75" s="57">
        <v>550</v>
      </c>
    </row>
    <row r="76" spans="1:5" ht="14.25" customHeight="1" x14ac:dyDescent="0.3">
      <c r="A76" s="52" t="s">
        <v>108</v>
      </c>
      <c r="B76" s="53">
        <v>37</v>
      </c>
      <c r="C76" s="53" t="s">
        <v>12</v>
      </c>
      <c r="D76" s="54">
        <v>216.03</v>
      </c>
      <c r="E76" s="52"/>
    </row>
    <row r="77" spans="1:5" ht="14.25" customHeight="1" x14ac:dyDescent="0.3">
      <c r="A77" s="55" t="s">
        <v>108</v>
      </c>
      <c r="B77" s="56">
        <v>37</v>
      </c>
      <c r="C77" s="56" t="s">
        <v>29</v>
      </c>
      <c r="D77" s="56"/>
      <c r="E77" s="57">
        <v>216.03</v>
      </c>
    </row>
    <row r="78" spans="1:5" ht="14.25" customHeight="1" x14ac:dyDescent="0.3">
      <c r="A78" s="52" t="s">
        <v>108</v>
      </c>
      <c r="B78" s="53">
        <v>38</v>
      </c>
      <c r="C78" s="53" t="s">
        <v>12</v>
      </c>
      <c r="D78" s="54">
        <v>289.98</v>
      </c>
      <c r="E78" s="52"/>
    </row>
    <row r="79" spans="1:5" ht="14.25" customHeight="1" x14ac:dyDescent="0.3">
      <c r="A79" s="55" t="s">
        <v>108</v>
      </c>
      <c r="B79" s="56">
        <v>38</v>
      </c>
      <c r="C79" s="56" t="s">
        <v>29</v>
      </c>
      <c r="D79" s="56"/>
      <c r="E79" s="57">
        <v>289.98</v>
      </c>
    </row>
    <row r="80" spans="1:5" ht="14.25" customHeight="1" x14ac:dyDescent="0.3">
      <c r="A80" s="52" t="s">
        <v>108</v>
      </c>
      <c r="B80" s="53">
        <v>39</v>
      </c>
      <c r="C80" s="53" t="s">
        <v>14</v>
      </c>
      <c r="D80" s="54">
        <v>478.25</v>
      </c>
      <c r="E80" s="52"/>
    </row>
    <row r="81" spans="1:5" ht="14.25" customHeight="1" x14ac:dyDescent="0.3">
      <c r="A81" s="55" t="s">
        <v>108</v>
      </c>
      <c r="B81" s="56">
        <v>39</v>
      </c>
      <c r="C81" s="56" t="s">
        <v>29</v>
      </c>
      <c r="D81" s="56"/>
      <c r="E81" s="57">
        <v>478.25</v>
      </c>
    </row>
    <row r="82" spans="1:5" ht="14.25" customHeight="1" x14ac:dyDescent="0.3">
      <c r="A82" s="52" t="s">
        <v>108</v>
      </c>
      <c r="B82" s="53">
        <v>40</v>
      </c>
      <c r="C82" s="53" t="s">
        <v>15</v>
      </c>
      <c r="D82" s="54">
        <v>410</v>
      </c>
      <c r="E82" s="52"/>
    </row>
    <row r="83" spans="1:5" ht="14.25" customHeight="1" x14ac:dyDescent="0.3">
      <c r="A83" s="55" t="s">
        <v>108</v>
      </c>
      <c r="B83" s="56">
        <v>40</v>
      </c>
      <c r="C83" s="56" t="s">
        <v>20</v>
      </c>
      <c r="D83" s="56"/>
      <c r="E83" s="57">
        <v>410</v>
      </c>
    </row>
    <row r="84" spans="1:5" ht="14.25" customHeight="1" x14ac:dyDescent="0.3">
      <c r="A84" s="52" t="s">
        <v>290</v>
      </c>
      <c r="B84" s="53">
        <v>41</v>
      </c>
      <c r="C84" s="53" t="s">
        <v>14</v>
      </c>
      <c r="D84" s="54">
        <v>597.76</v>
      </c>
      <c r="E84" s="52"/>
    </row>
    <row r="85" spans="1:5" ht="14.25" customHeight="1" x14ac:dyDescent="0.3">
      <c r="A85" s="55" t="s">
        <v>290</v>
      </c>
      <c r="B85" s="56">
        <v>41</v>
      </c>
      <c r="C85" s="56" t="s">
        <v>29</v>
      </c>
      <c r="D85" s="56"/>
      <c r="E85" s="57">
        <v>597.76</v>
      </c>
    </row>
    <row r="86" spans="1:5" ht="14.25" customHeight="1" x14ac:dyDescent="0.3">
      <c r="A86" s="52" t="s">
        <v>290</v>
      </c>
      <c r="B86" s="53">
        <v>42</v>
      </c>
      <c r="C86" s="53" t="s">
        <v>15</v>
      </c>
      <c r="D86" s="54">
        <v>275.60000000000002</v>
      </c>
      <c r="E86" s="52"/>
    </row>
    <row r="87" spans="1:5" ht="14.25" customHeight="1" x14ac:dyDescent="0.3">
      <c r="A87" s="55" t="s">
        <v>290</v>
      </c>
      <c r="B87" s="56">
        <v>42</v>
      </c>
      <c r="C87" s="56" t="s">
        <v>12</v>
      </c>
      <c r="D87" s="56"/>
      <c r="E87" s="57">
        <v>275.60000000000002</v>
      </c>
    </row>
    <row r="88" spans="1:5" ht="14.25" customHeight="1" x14ac:dyDescent="0.3">
      <c r="A88" s="52" t="s">
        <v>290</v>
      </c>
      <c r="B88" s="53">
        <v>43</v>
      </c>
      <c r="C88" s="53" t="s">
        <v>15</v>
      </c>
      <c r="D88" s="54">
        <v>122.75</v>
      </c>
      <c r="E88" s="52"/>
    </row>
    <row r="89" spans="1:5" ht="14.25" customHeight="1" x14ac:dyDescent="0.3">
      <c r="A89" s="55" t="s">
        <v>290</v>
      </c>
      <c r="B89" s="56">
        <v>43</v>
      </c>
      <c r="C89" s="56" t="s">
        <v>12</v>
      </c>
      <c r="D89" s="56"/>
      <c r="E89" s="57">
        <v>122.75</v>
      </c>
    </row>
    <row r="90" spans="1:5" ht="14.25" customHeight="1" x14ac:dyDescent="0.3">
      <c r="A90" s="52" t="s">
        <v>200</v>
      </c>
      <c r="B90" s="53">
        <v>44</v>
      </c>
      <c r="C90" s="53" t="s">
        <v>12</v>
      </c>
      <c r="D90" s="54">
        <v>253.32</v>
      </c>
      <c r="E90" s="52"/>
    </row>
    <row r="91" spans="1:5" ht="14.25" customHeight="1" x14ac:dyDescent="0.3">
      <c r="A91" s="55" t="s">
        <v>200</v>
      </c>
      <c r="B91" s="56">
        <v>44</v>
      </c>
      <c r="C91" s="56" t="s">
        <v>29</v>
      </c>
      <c r="D91" s="56"/>
      <c r="E91" s="57">
        <v>253.32</v>
      </c>
    </row>
    <row r="92" spans="1:5" ht="14.25" customHeight="1" x14ac:dyDescent="0.3">
      <c r="A92" s="52" t="s">
        <v>200</v>
      </c>
      <c r="B92" s="53">
        <v>45</v>
      </c>
      <c r="C92" s="53" t="s">
        <v>12</v>
      </c>
      <c r="D92" s="54">
        <v>125.6</v>
      </c>
      <c r="E92" s="52"/>
    </row>
    <row r="93" spans="1:5" ht="14.25" customHeight="1" x14ac:dyDescent="0.3">
      <c r="A93" s="55" t="s">
        <v>200</v>
      </c>
      <c r="B93" s="56">
        <v>45</v>
      </c>
      <c r="C93" s="56" t="s">
        <v>29</v>
      </c>
      <c r="D93" s="56"/>
      <c r="E93" s="57">
        <v>125.6</v>
      </c>
    </row>
    <row r="94" spans="1:5" ht="14.25" customHeight="1" x14ac:dyDescent="0.3">
      <c r="A94" s="52" t="s">
        <v>200</v>
      </c>
      <c r="B94" s="53">
        <v>46</v>
      </c>
      <c r="C94" s="53" t="s">
        <v>14</v>
      </c>
      <c r="D94" s="54">
        <v>331.31</v>
      </c>
      <c r="E94" s="52"/>
    </row>
    <row r="95" spans="1:5" ht="14.25" customHeight="1" x14ac:dyDescent="0.3">
      <c r="A95" s="55" t="s">
        <v>200</v>
      </c>
      <c r="B95" s="56">
        <v>46</v>
      </c>
      <c r="C95" s="56" t="s">
        <v>29</v>
      </c>
      <c r="D95" s="56"/>
      <c r="E95" s="57">
        <v>331.31</v>
      </c>
    </row>
    <row r="96" spans="1:5" ht="14.25" customHeight="1" x14ac:dyDescent="0.3">
      <c r="A96" s="52" t="s">
        <v>200</v>
      </c>
      <c r="B96" s="53">
        <v>47</v>
      </c>
      <c r="C96" s="53" t="s">
        <v>14</v>
      </c>
      <c r="D96" s="54">
        <v>410</v>
      </c>
      <c r="E96" s="52"/>
    </row>
    <row r="97" spans="1:5" ht="14.25" customHeight="1" x14ac:dyDescent="0.3">
      <c r="A97" s="55" t="s">
        <v>200</v>
      </c>
      <c r="B97" s="56">
        <v>47</v>
      </c>
      <c r="C97" s="56" t="s">
        <v>29</v>
      </c>
      <c r="D97" s="56"/>
      <c r="E97" s="57">
        <v>410</v>
      </c>
    </row>
    <row r="98" spans="1:5" ht="14.25" customHeight="1" x14ac:dyDescent="0.3">
      <c r="A98" s="52" t="s">
        <v>200</v>
      </c>
      <c r="B98" s="53">
        <v>48</v>
      </c>
      <c r="C98" s="53" t="s">
        <v>39</v>
      </c>
      <c r="D98" s="54">
        <v>120</v>
      </c>
      <c r="E98" s="52"/>
    </row>
    <row r="99" spans="1:5" ht="14.25" customHeight="1" x14ac:dyDescent="0.3">
      <c r="A99" s="55" t="s">
        <v>200</v>
      </c>
      <c r="B99" s="56">
        <v>48</v>
      </c>
      <c r="C99" s="56" t="s">
        <v>12</v>
      </c>
      <c r="D99" s="56"/>
      <c r="E99" s="57">
        <v>120</v>
      </c>
    </row>
    <row r="100" spans="1:5" ht="14.25" customHeight="1" x14ac:dyDescent="0.3">
      <c r="A100" s="52" t="s">
        <v>246</v>
      </c>
      <c r="B100" s="53">
        <v>49</v>
      </c>
      <c r="C100" s="53" t="s">
        <v>12</v>
      </c>
      <c r="D100" s="54">
        <v>198.11</v>
      </c>
      <c r="E100" s="52"/>
    </row>
    <row r="101" spans="1:5" ht="14.25" customHeight="1" x14ac:dyDescent="0.3">
      <c r="A101" s="55" t="s">
        <v>246</v>
      </c>
      <c r="B101" s="56">
        <v>49</v>
      </c>
      <c r="C101" s="56" t="s">
        <v>29</v>
      </c>
      <c r="D101" s="56"/>
      <c r="E101" s="57">
        <v>198.11</v>
      </c>
    </row>
    <row r="102" spans="1:5" ht="14.25" customHeight="1" x14ac:dyDescent="0.3">
      <c r="A102" s="52" t="s">
        <v>246</v>
      </c>
      <c r="B102" s="53">
        <v>50</v>
      </c>
      <c r="C102" s="53" t="s">
        <v>12</v>
      </c>
      <c r="D102" s="54">
        <v>346.32</v>
      </c>
      <c r="E102" s="52"/>
    </row>
    <row r="103" spans="1:5" ht="14.25" customHeight="1" x14ac:dyDescent="0.3">
      <c r="A103" s="55" t="s">
        <v>246</v>
      </c>
      <c r="B103" s="56">
        <v>50</v>
      </c>
      <c r="C103" s="56" t="s">
        <v>29</v>
      </c>
      <c r="D103" s="56"/>
      <c r="E103" s="57">
        <v>346.32</v>
      </c>
    </row>
    <row r="104" spans="1:5" ht="14.25" customHeight="1" x14ac:dyDescent="0.3">
      <c r="A104" s="52" t="s">
        <v>246</v>
      </c>
      <c r="B104" s="53">
        <v>51</v>
      </c>
      <c r="C104" s="53" t="s">
        <v>12</v>
      </c>
      <c r="D104" s="54">
        <v>145.52000000000001</v>
      </c>
      <c r="E104" s="52"/>
    </row>
    <row r="105" spans="1:5" ht="14.25" customHeight="1" x14ac:dyDescent="0.3">
      <c r="A105" s="55" t="s">
        <v>246</v>
      </c>
      <c r="B105" s="56">
        <v>51</v>
      </c>
      <c r="C105" s="56" t="s">
        <v>29</v>
      </c>
      <c r="D105" s="56"/>
      <c r="E105" s="57">
        <v>145.52000000000001</v>
      </c>
    </row>
    <row r="106" spans="1:5" ht="14.25" customHeight="1" x14ac:dyDescent="0.3">
      <c r="A106" s="52" t="s">
        <v>246</v>
      </c>
      <c r="B106" s="53">
        <v>52</v>
      </c>
      <c r="C106" s="53" t="s">
        <v>12</v>
      </c>
      <c r="D106" s="54">
        <v>410</v>
      </c>
      <c r="E106" s="52"/>
    </row>
    <row r="107" spans="1:5" ht="14.25" customHeight="1" x14ac:dyDescent="0.3">
      <c r="A107" s="55" t="s">
        <v>246</v>
      </c>
      <c r="B107" s="56">
        <v>52</v>
      </c>
      <c r="C107" s="56" t="s">
        <v>14</v>
      </c>
      <c r="D107" s="56"/>
      <c r="E107" s="57">
        <v>410</v>
      </c>
    </row>
    <row r="108" spans="1:5" ht="14.25" customHeight="1" x14ac:dyDescent="0.3">
      <c r="A108" s="52" t="s">
        <v>246</v>
      </c>
      <c r="B108" s="53">
        <v>53</v>
      </c>
      <c r="C108" s="53" t="s">
        <v>34</v>
      </c>
      <c r="D108" s="54">
        <v>3180</v>
      </c>
      <c r="E108" s="52"/>
    </row>
    <row r="109" spans="1:5" ht="14.25" customHeight="1" x14ac:dyDescent="0.3">
      <c r="A109" s="55" t="s">
        <v>246</v>
      </c>
      <c r="B109" s="56">
        <v>53</v>
      </c>
      <c r="C109" s="56" t="s">
        <v>12</v>
      </c>
      <c r="D109" s="56"/>
      <c r="E109" s="57">
        <v>3180</v>
      </c>
    </row>
    <row r="110" spans="1:5" ht="14.25" customHeight="1" x14ac:dyDescent="0.3">
      <c r="A110" s="52" t="s">
        <v>139</v>
      </c>
      <c r="B110" s="53">
        <v>54</v>
      </c>
      <c r="C110" s="53" t="s">
        <v>14</v>
      </c>
      <c r="D110" s="54">
        <v>934.47</v>
      </c>
      <c r="E110" s="52"/>
    </row>
    <row r="111" spans="1:5" ht="14.25" customHeight="1" x14ac:dyDescent="0.3">
      <c r="A111" s="55" t="s">
        <v>139</v>
      </c>
      <c r="B111" s="56">
        <v>54</v>
      </c>
      <c r="C111" s="56" t="s">
        <v>29</v>
      </c>
      <c r="D111" s="56"/>
      <c r="E111" s="57">
        <v>934.47</v>
      </c>
    </row>
    <row r="112" spans="1:5" ht="14.25" customHeight="1" x14ac:dyDescent="0.3">
      <c r="A112" s="52" t="s">
        <v>139</v>
      </c>
      <c r="B112" s="53">
        <v>55</v>
      </c>
      <c r="C112" s="53" t="s">
        <v>12</v>
      </c>
      <c r="D112" s="54">
        <v>38.380000000000003</v>
      </c>
      <c r="E112" s="52"/>
    </row>
    <row r="113" spans="1:5" ht="14.25" customHeight="1" x14ac:dyDescent="0.3">
      <c r="A113" s="55" t="s">
        <v>139</v>
      </c>
      <c r="B113" s="56">
        <v>55</v>
      </c>
      <c r="C113" s="56" t="s">
        <v>29</v>
      </c>
      <c r="D113" s="56"/>
      <c r="E113" s="57">
        <v>38.380000000000003</v>
      </c>
    </row>
    <row r="114" spans="1:5" ht="14.25" customHeight="1" x14ac:dyDescent="0.3">
      <c r="A114" s="52" t="s">
        <v>139</v>
      </c>
      <c r="B114" s="53">
        <v>56</v>
      </c>
      <c r="C114" s="53" t="s">
        <v>12</v>
      </c>
      <c r="D114" s="54">
        <v>129.99</v>
      </c>
      <c r="E114" s="52"/>
    </row>
    <row r="115" spans="1:5" ht="14.25" customHeight="1" x14ac:dyDescent="0.3">
      <c r="A115" s="55" t="s">
        <v>139</v>
      </c>
      <c r="B115" s="56">
        <v>56</v>
      </c>
      <c r="C115" s="56" t="s">
        <v>29</v>
      </c>
      <c r="D115" s="56"/>
      <c r="E115" s="57">
        <v>129.99</v>
      </c>
    </row>
    <row r="116" spans="1:5" ht="14.25" customHeight="1" x14ac:dyDescent="0.3">
      <c r="A116" s="52" t="s">
        <v>139</v>
      </c>
      <c r="B116" s="53">
        <v>57</v>
      </c>
      <c r="C116" s="53" t="s">
        <v>28</v>
      </c>
      <c r="D116" s="54">
        <v>1000</v>
      </c>
      <c r="E116" s="52"/>
    </row>
    <row r="117" spans="1:5" ht="14.25" customHeight="1" x14ac:dyDescent="0.3">
      <c r="A117" s="55" t="s">
        <v>139</v>
      </c>
      <c r="B117" s="56">
        <v>57</v>
      </c>
      <c r="C117" s="56" t="s">
        <v>12</v>
      </c>
      <c r="D117" s="56"/>
      <c r="E117" s="57">
        <v>1000</v>
      </c>
    </row>
    <row r="118" spans="1:5" ht="14.25" customHeight="1" x14ac:dyDescent="0.3">
      <c r="A118" s="52" t="s">
        <v>139</v>
      </c>
      <c r="B118" s="53">
        <v>58</v>
      </c>
      <c r="C118" s="53" t="s">
        <v>38</v>
      </c>
      <c r="D118" s="54">
        <v>260</v>
      </c>
      <c r="E118" s="52"/>
    </row>
    <row r="119" spans="1:5" ht="14.25" customHeight="1" x14ac:dyDescent="0.3">
      <c r="A119" s="55" t="s">
        <v>139</v>
      </c>
      <c r="B119" s="56">
        <v>58</v>
      </c>
      <c r="C119" s="56" t="s">
        <v>12</v>
      </c>
      <c r="D119" s="56"/>
      <c r="E119" s="57">
        <v>260</v>
      </c>
    </row>
    <row r="120" spans="1:5" ht="14.25" customHeight="1" x14ac:dyDescent="0.3">
      <c r="A120" s="52" t="s">
        <v>297</v>
      </c>
      <c r="B120" s="53">
        <v>59</v>
      </c>
      <c r="C120" s="53" t="s">
        <v>14</v>
      </c>
      <c r="D120" s="54">
        <v>170.81</v>
      </c>
      <c r="E120" s="52"/>
    </row>
    <row r="121" spans="1:5" ht="14.25" customHeight="1" x14ac:dyDescent="0.3">
      <c r="A121" s="55" t="s">
        <v>297</v>
      </c>
      <c r="B121" s="56">
        <v>59</v>
      </c>
      <c r="C121" s="56" t="s">
        <v>29</v>
      </c>
      <c r="D121" s="56"/>
      <c r="E121" s="57">
        <v>170.81</v>
      </c>
    </row>
    <row r="122" spans="1:5" ht="14.25" customHeight="1" x14ac:dyDescent="0.3">
      <c r="A122" s="52" t="s">
        <v>297</v>
      </c>
      <c r="B122" s="53">
        <v>60</v>
      </c>
      <c r="C122" s="53" t="s">
        <v>12</v>
      </c>
      <c r="D122" s="54">
        <v>199.25</v>
      </c>
      <c r="E122" s="52"/>
    </row>
    <row r="123" spans="1:5" ht="14.25" customHeight="1" x14ac:dyDescent="0.3">
      <c r="A123" s="55" t="s">
        <v>297</v>
      </c>
      <c r="B123" s="56">
        <v>60</v>
      </c>
      <c r="C123" s="56" t="s">
        <v>29</v>
      </c>
      <c r="D123" s="56"/>
      <c r="E123" s="57">
        <v>199.25</v>
      </c>
    </row>
    <row r="124" spans="1:5" ht="14.25" customHeight="1" x14ac:dyDescent="0.3">
      <c r="A124" s="52" t="s">
        <v>297</v>
      </c>
      <c r="B124" s="53">
        <v>61</v>
      </c>
      <c r="C124" s="53" t="s">
        <v>15</v>
      </c>
      <c r="D124" s="54">
        <v>190</v>
      </c>
      <c r="E124" s="52"/>
    </row>
    <row r="125" spans="1:5" ht="14.25" customHeight="1" x14ac:dyDescent="0.3">
      <c r="A125" s="55" t="s">
        <v>297</v>
      </c>
      <c r="B125" s="56">
        <v>61</v>
      </c>
      <c r="C125" s="56" t="s">
        <v>12</v>
      </c>
      <c r="D125" s="56"/>
      <c r="E125" s="57">
        <v>190</v>
      </c>
    </row>
    <row r="126" spans="1:5" ht="14.25" customHeight="1" x14ac:dyDescent="0.3">
      <c r="A126" s="52" t="s">
        <v>211</v>
      </c>
      <c r="B126" s="53">
        <v>62</v>
      </c>
      <c r="C126" s="53" t="s">
        <v>12</v>
      </c>
      <c r="D126" s="54">
        <v>88.75</v>
      </c>
      <c r="E126" s="52"/>
    </row>
    <row r="127" spans="1:5" ht="14.25" customHeight="1" x14ac:dyDescent="0.3">
      <c r="A127" s="55" t="s">
        <v>211</v>
      </c>
      <c r="B127" s="56">
        <v>62</v>
      </c>
      <c r="C127" s="56" t="s">
        <v>29</v>
      </c>
      <c r="D127" s="56"/>
      <c r="E127" s="57">
        <v>88.75</v>
      </c>
    </row>
    <row r="128" spans="1:5" ht="14.25" customHeight="1" x14ac:dyDescent="0.3">
      <c r="A128" s="52" t="s">
        <v>211</v>
      </c>
      <c r="B128" s="53">
        <v>63</v>
      </c>
      <c r="C128" s="53" t="s">
        <v>38</v>
      </c>
      <c r="D128" s="54">
        <v>180</v>
      </c>
      <c r="E128" s="52"/>
    </row>
    <row r="129" spans="1:5" ht="14.25" customHeight="1" x14ac:dyDescent="0.3">
      <c r="A129" s="55" t="s">
        <v>211</v>
      </c>
      <c r="B129" s="56">
        <v>63</v>
      </c>
      <c r="C129" s="56" t="s">
        <v>12</v>
      </c>
      <c r="D129" s="56"/>
      <c r="E129" s="57">
        <v>180</v>
      </c>
    </row>
    <row r="130" spans="1:5" ht="14.25" customHeight="1" x14ac:dyDescent="0.3">
      <c r="A130" s="52" t="s">
        <v>105</v>
      </c>
      <c r="B130" s="53">
        <v>64</v>
      </c>
      <c r="C130" s="53" t="s">
        <v>14</v>
      </c>
      <c r="D130" s="54">
        <v>655.8</v>
      </c>
      <c r="E130" s="52"/>
    </row>
    <row r="131" spans="1:5" ht="14.25" customHeight="1" x14ac:dyDescent="0.3">
      <c r="A131" s="55" t="s">
        <v>105</v>
      </c>
      <c r="B131" s="56">
        <v>64</v>
      </c>
      <c r="C131" s="56" t="s">
        <v>29</v>
      </c>
      <c r="D131" s="56"/>
      <c r="E131" s="57">
        <v>655.8</v>
      </c>
    </row>
    <row r="132" spans="1:5" ht="14.25" customHeight="1" x14ac:dyDescent="0.3">
      <c r="A132" s="52" t="s">
        <v>105</v>
      </c>
      <c r="B132" s="53">
        <v>65</v>
      </c>
      <c r="C132" s="53" t="s">
        <v>12</v>
      </c>
      <c r="D132" s="54">
        <v>306.36</v>
      </c>
      <c r="E132" s="52"/>
    </row>
    <row r="133" spans="1:5" ht="14.25" customHeight="1" x14ac:dyDescent="0.3">
      <c r="A133" s="55" t="s">
        <v>105</v>
      </c>
      <c r="B133" s="56">
        <v>65</v>
      </c>
      <c r="C133" s="56" t="s">
        <v>29</v>
      </c>
      <c r="D133" s="56"/>
      <c r="E133" s="57">
        <v>306.36</v>
      </c>
    </row>
    <row r="134" spans="1:5" ht="14.25" customHeight="1" x14ac:dyDescent="0.3">
      <c r="A134" s="52" t="s">
        <v>105</v>
      </c>
      <c r="B134" s="53">
        <v>66</v>
      </c>
      <c r="C134" s="53" t="s">
        <v>12</v>
      </c>
      <c r="D134" s="54">
        <v>329.75</v>
      </c>
      <c r="E134" s="52"/>
    </row>
    <row r="135" spans="1:5" ht="14.25" customHeight="1" x14ac:dyDescent="0.3">
      <c r="A135" s="55" t="s">
        <v>105</v>
      </c>
      <c r="B135" s="56">
        <v>66</v>
      </c>
      <c r="C135" s="56" t="s">
        <v>14</v>
      </c>
      <c r="D135" s="56"/>
      <c r="E135" s="57">
        <v>329.75</v>
      </c>
    </row>
    <row r="136" spans="1:5" ht="14.25" customHeight="1" x14ac:dyDescent="0.3">
      <c r="A136" s="52" t="s">
        <v>105</v>
      </c>
      <c r="B136" s="53">
        <v>67</v>
      </c>
      <c r="C136" s="53" t="s">
        <v>14</v>
      </c>
      <c r="D136" s="54">
        <v>322.10000000000002</v>
      </c>
      <c r="E136" s="52"/>
    </row>
    <row r="137" spans="1:5" ht="14.25" customHeight="1" x14ac:dyDescent="0.3">
      <c r="A137" s="55" t="s">
        <v>105</v>
      </c>
      <c r="B137" s="56">
        <v>67</v>
      </c>
      <c r="C137" s="56" t="s">
        <v>29</v>
      </c>
      <c r="D137" s="56"/>
      <c r="E137" s="57">
        <v>322.10000000000002</v>
      </c>
    </row>
    <row r="138" spans="1:5" ht="14.25" customHeight="1" x14ac:dyDescent="0.3">
      <c r="A138" s="52" t="s">
        <v>105</v>
      </c>
      <c r="B138" s="53">
        <v>68</v>
      </c>
      <c r="C138" s="53" t="s">
        <v>33</v>
      </c>
      <c r="D138" s="54">
        <v>198.75</v>
      </c>
      <c r="E138" s="52"/>
    </row>
    <row r="139" spans="1:5" ht="14.25" customHeight="1" x14ac:dyDescent="0.3">
      <c r="A139" s="55" t="s">
        <v>105</v>
      </c>
      <c r="B139" s="56">
        <v>68</v>
      </c>
      <c r="C139" s="56" t="s">
        <v>12</v>
      </c>
      <c r="D139" s="56"/>
      <c r="E139" s="57">
        <v>198.75</v>
      </c>
    </row>
    <row r="140" spans="1:5" ht="14.25" customHeight="1" x14ac:dyDescent="0.3">
      <c r="A140" s="52" t="s">
        <v>151</v>
      </c>
      <c r="B140" s="53">
        <v>69</v>
      </c>
      <c r="C140" s="53" t="s">
        <v>12</v>
      </c>
      <c r="D140" s="54">
        <v>317.20999999999998</v>
      </c>
      <c r="E140" s="52"/>
    </row>
    <row r="141" spans="1:5" ht="14.25" customHeight="1" x14ac:dyDescent="0.3">
      <c r="A141" s="55" t="s">
        <v>151</v>
      </c>
      <c r="B141" s="56">
        <v>69</v>
      </c>
      <c r="C141" s="56" t="s">
        <v>29</v>
      </c>
      <c r="D141" s="56"/>
      <c r="E141" s="57">
        <v>317.20999999999998</v>
      </c>
    </row>
    <row r="142" spans="1:5" ht="14.25" customHeight="1" x14ac:dyDescent="0.3">
      <c r="A142" s="52" t="s">
        <v>151</v>
      </c>
      <c r="B142" s="53">
        <v>70</v>
      </c>
      <c r="C142" s="53" t="s">
        <v>12</v>
      </c>
      <c r="D142" s="54">
        <v>157.63</v>
      </c>
      <c r="E142" s="52"/>
    </row>
    <row r="143" spans="1:5" ht="14.25" customHeight="1" x14ac:dyDescent="0.3">
      <c r="A143" s="55" t="s">
        <v>151</v>
      </c>
      <c r="B143" s="56">
        <v>70</v>
      </c>
      <c r="C143" s="56" t="s">
        <v>29</v>
      </c>
      <c r="D143" s="56"/>
      <c r="E143" s="57">
        <v>157.63</v>
      </c>
    </row>
    <row r="144" spans="1:5" ht="14.25" customHeight="1" x14ac:dyDescent="0.3">
      <c r="A144" s="52" t="s">
        <v>151</v>
      </c>
      <c r="B144" s="53">
        <v>71</v>
      </c>
      <c r="C144" s="53" t="s">
        <v>14</v>
      </c>
      <c r="D144" s="54">
        <v>340</v>
      </c>
      <c r="E144" s="52"/>
    </row>
    <row r="145" spans="1:5" ht="14.25" customHeight="1" x14ac:dyDescent="0.3">
      <c r="A145" s="55" t="s">
        <v>151</v>
      </c>
      <c r="B145" s="56">
        <v>71</v>
      </c>
      <c r="C145" s="56" t="s">
        <v>29</v>
      </c>
      <c r="D145" s="56"/>
      <c r="E145" s="57">
        <v>340</v>
      </c>
    </row>
    <row r="146" spans="1:5" ht="14.25" customHeight="1" x14ac:dyDescent="0.3">
      <c r="A146" s="52" t="s">
        <v>151</v>
      </c>
      <c r="B146" s="53">
        <v>72</v>
      </c>
      <c r="C146" s="53" t="s">
        <v>20</v>
      </c>
      <c r="D146" s="54">
        <v>950</v>
      </c>
      <c r="E146" s="52"/>
    </row>
    <row r="147" spans="1:5" ht="14.25" customHeight="1" x14ac:dyDescent="0.3">
      <c r="A147" s="55" t="s">
        <v>151</v>
      </c>
      <c r="B147" s="56">
        <v>72</v>
      </c>
      <c r="C147" s="56" t="s">
        <v>12</v>
      </c>
      <c r="D147" s="56"/>
      <c r="E147" s="57">
        <v>950</v>
      </c>
    </row>
    <row r="148" spans="1:5" ht="14.25" customHeight="1" x14ac:dyDescent="0.3">
      <c r="A148" s="52" t="s">
        <v>165</v>
      </c>
      <c r="B148" s="53">
        <v>73</v>
      </c>
      <c r="C148" s="53" t="s">
        <v>12</v>
      </c>
      <c r="D148" s="54">
        <v>373.13</v>
      </c>
      <c r="E148" s="52"/>
    </row>
    <row r="149" spans="1:5" ht="14.25" customHeight="1" x14ac:dyDescent="0.3">
      <c r="A149" s="55" t="s">
        <v>165</v>
      </c>
      <c r="B149" s="56">
        <v>73</v>
      </c>
      <c r="C149" s="56" t="s">
        <v>29</v>
      </c>
      <c r="D149" s="56"/>
      <c r="E149" s="57">
        <v>373.13</v>
      </c>
    </row>
    <row r="150" spans="1:5" ht="14.25" customHeight="1" x14ac:dyDescent="0.3">
      <c r="A150" s="52" t="s">
        <v>165</v>
      </c>
      <c r="B150" s="53">
        <v>74</v>
      </c>
      <c r="C150" s="53" t="s">
        <v>14</v>
      </c>
      <c r="D150" s="54">
        <v>266.39999999999998</v>
      </c>
      <c r="E150" s="52"/>
    </row>
    <row r="151" spans="1:5" ht="14.25" customHeight="1" x14ac:dyDescent="0.3">
      <c r="A151" s="55" t="s">
        <v>165</v>
      </c>
      <c r="B151" s="56">
        <v>74</v>
      </c>
      <c r="C151" s="56" t="s">
        <v>29</v>
      </c>
      <c r="D151" s="56"/>
      <c r="E151" s="57">
        <v>266.39999999999998</v>
      </c>
    </row>
    <row r="152" spans="1:5" ht="14.25" customHeight="1" x14ac:dyDescent="0.3">
      <c r="A152" s="52" t="s">
        <v>165</v>
      </c>
      <c r="B152" s="53">
        <v>75</v>
      </c>
      <c r="C152" s="53" t="s">
        <v>38</v>
      </c>
      <c r="D152" s="54">
        <v>350</v>
      </c>
      <c r="E152" s="52"/>
    </row>
    <row r="153" spans="1:5" ht="14.25" customHeight="1" x14ac:dyDescent="0.3">
      <c r="A153" s="55" t="s">
        <v>165</v>
      </c>
      <c r="B153" s="56">
        <v>75</v>
      </c>
      <c r="C153" s="56" t="s">
        <v>12</v>
      </c>
      <c r="D153" s="56"/>
      <c r="E153" s="57">
        <v>350</v>
      </c>
    </row>
    <row r="154" spans="1:5" ht="14.25" customHeight="1" x14ac:dyDescent="0.3">
      <c r="A154" s="52" t="s">
        <v>347</v>
      </c>
      <c r="B154" s="53">
        <v>76</v>
      </c>
      <c r="C154" s="53" t="s">
        <v>12</v>
      </c>
      <c r="D154" s="54">
        <v>63.2</v>
      </c>
      <c r="E154" s="52"/>
    </row>
    <row r="155" spans="1:5" ht="14.25" customHeight="1" x14ac:dyDescent="0.3">
      <c r="A155" s="55" t="s">
        <v>347</v>
      </c>
      <c r="B155" s="56">
        <v>76</v>
      </c>
      <c r="C155" s="56" t="s">
        <v>29</v>
      </c>
      <c r="D155" s="56"/>
      <c r="E155" s="57">
        <v>63.2</v>
      </c>
    </row>
    <row r="156" spans="1:5" ht="14.25" customHeight="1" x14ac:dyDescent="0.3">
      <c r="A156" s="52" t="s">
        <v>347</v>
      </c>
      <c r="B156" s="53">
        <v>77</v>
      </c>
      <c r="C156" s="53" t="s">
        <v>33</v>
      </c>
      <c r="D156" s="54">
        <v>176.2</v>
      </c>
      <c r="E156" s="52"/>
    </row>
    <row r="157" spans="1:5" ht="14.25" customHeight="1" x14ac:dyDescent="0.3">
      <c r="A157" s="55" t="s">
        <v>347</v>
      </c>
      <c r="B157" s="56">
        <v>77</v>
      </c>
      <c r="C157" s="56" t="s">
        <v>12</v>
      </c>
      <c r="D157" s="56"/>
      <c r="E157" s="57">
        <v>176.2</v>
      </c>
    </row>
    <row r="158" spans="1:5" ht="14.25" customHeight="1" x14ac:dyDescent="0.3">
      <c r="A158" s="52" t="s">
        <v>97</v>
      </c>
      <c r="B158" s="53">
        <v>78</v>
      </c>
      <c r="C158" s="53" t="s">
        <v>12</v>
      </c>
      <c r="D158" s="54">
        <v>423.58</v>
      </c>
      <c r="E158" s="52"/>
    </row>
    <row r="159" spans="1:5" ht="14.25" customHeight="1" x14ac:dyDescent="0.3">
      <c r="A159" s="55" t="s">
        <v>97</v>
      </c>
      <c r="B159" s="56">
        <v>78</v>
      </c>
      <c r="C159" s="56" t="s">
        <v>14</v>
      </c>
      <c r="D159" s="56"/>
      <c r="E159" s="57">
        <v>423.58</v>
      </c>
    </row>
    <row r="160" spans="1:5" ht="14.25" customHeight="1" x14ac:dyDescent="0.3">
      <c r="A160" s="52" t="s">
        <v>97</v>
      </c>
      <c r="B160" s="53">
        <v>79</v>
      </c>
      <c r="C160" s="53" t="s">
        <v>14</v>
      </c>
      <c r="D160" s="54">
        <v>592.88</v>
      </c>
      <c r="E160" s="52"/>
    </row>
    <row r="161" spans="1:5" ht="14.25" customHeight="1" x14ac:dyDescent="0.3">
      <c r="A161" s="55" t="s">
        <v>97</v>
      </c>
      <c r="B161" s="56">
        <v>79</v>
      </c>
      <c r="C161" s="56" t="s">
        <v>29</v>
      </c>
      <c r="D161" s="56"/>
      <c r="E161" s="57">
        <v>592.88</v>
      </c>
    </row>
    <row r="162" spans="1:5" ht="14.25" customHeight="1" x14ac:dyDescent="0.3">
      <c r="A162" s="52" t="s">
        <v>97</v>
      </c>
      <c r="B162" s="53">
        <v>80</v>
      </c>
      <c r="C162" s="53" t="s">
        <v>12</v>
      </c>
      <c r="D162" s="54">
        <v>111.51</v>
      </c>
      <c r="E162" s="52"/>
    </row>
    <row r="163" spans="1:5" ht="14.25" customHeight="1" x14ac:dyDescent="0.3">
      <c r="A163" s="55" t="s">
        <v>97</v>
      </c>
      <c r="B163" s="56">
        <v>80</v>
      </c>
      <c r="C163" s="56" t="s">
        <v>29</v>
      </c>
      <c r="D163" s="56"/>
      <c r="E163" s="57">
        <v>111.51</v>
      </c>
    </row>
    <row r="164" spans="1:5" ht="14.25" customHeight="1" x14ac:dyDescent="0.3">
      <c r="A164" s="52" t="s">
        <v>97</v>
      </c>
      <c r="B164" s="53">
        <v>81</v>
      </c>
      <c r="C164" s="53" t="s">
        <v>14</v>
      </c>
      <c r="D164" s="54">
        <v>240.83</v>
      </c>
      <c r="E164" s="52"/>
    </row>
    <row r="165" spans="1:5" ht="14.25" customHeight="1" x14ac:dyDescent="0.3">
      <c r="A165" s="55" t="s">
        <v>97</v>
      </c>
      <c r="B165" s="56">
        <v>81</v>
      </c>
      <c r="C165" s="56" t="s">
        <v>29</v>
      </c>
      <c r="D165" s="56"/>
      <c r="E165" s="57">
        <v>240.83</v>
      </c>
    </row>
    <row r="166" spans="1:5" ht="14.25" customHeight="1" x14ac:dyDescent="0.3">
      <c r="A166" s="52" t="s">
        <v>97</v>
      </c>
      <c r="B166" s="53">
        <v>82</v>
      </c>
      <c r="C166" s="53" t="s">
        <v>14</v>
      </c>
      <c r="D166" s="54">
        <v>727.37</v>
      </c>
      <c r="E166" s="52"/>
    </row>
    <row r="167" spans="1:5" ht="14.25" customHeight="1" x14ac:dyDescent="0.3">
      <c r="A167" s="55" t="s">
        <v>97</v>
      </c>
      <c r="B167" s="56">
        <v>82</v>
      </c>
      <c r="C167" s="56" t="s">
        <v>29</v>
      </c>
      <c r="D167" s="56"/>
      <c r="E167" s="57">
        <v>727.37</v>
      </c>
    </row>
    <row r="168" spans="1:5" ht="14.25" customHeight="1" x14ac:dyDescent="0.3">
      <c r="A168" s="52" t="s">
        <v>97</v>
      </c>
      <c r="B168" s="53">
        <v>83</v>
      </c>
      <c r="C168" s="53" t="s">
        <v>12</v>
      </c>
      <c r="D168" s="54">
        <v>118.6</v>
      </c>
      <c r="E168" s="52"/>
    </row>
    <row r="169" spans="1:5" ht="14.25" customHeight="1" x14ac:dyDescent="0.3">
      <c r="A169" s="55" t="s">
        <v>97</v>
      </c>
      <c r="B169" s="56">
        <v>83</v>
      </c>
      <c r="C169" s="56" t="s">
        <v>29</v>
      </c>
      <c r="D169" s="56"/>
      <c r="E169" s="57">
        <v>118.6</v>
      </c>
    </row>
    <row r="170" spans="1:5" ht="14.25" customHeight="1" x14ac:dyDescent="0.3">
      <c r="A170" s="52" t="s">
        <v>97</v>
      </c>
      <c r="B170" s="53">
        <v>84</v>
      </c>
      <c r="C170" s="53" t="s">
        <v>15</v>
      </c>
      <c r="D170" s="54">
        <v>310.45</v>
      </c>
      <c r="E170" s="52"/>
    </row>
    <row r="171" spans="1:5" ht="14.25" customHeight="1" x14ac:dyDescent="0.3">
      <c r="A171" s="55" t="s">
        <v>97</v>
      </c>
      <c r="B171" s="56">
        <v>84</v>
      </c>
      <c r="C171" s="56" t="s">
        <v>12</v>
      </c>
      <c r="D171" s="56"/>
      <c r="E171" s="57">
        <v>310.45</v>
      </c>
    </row>
    <row r="172" spans="1:5" ht="14.25" customHeight="1" x14ac:dyDescent="0.3">
      <c r="A172" s="52" t="s">
        <v>83</v>
      </c>
      <c r="B172" s="53">
        <v>85</v>
      </c>
      <c r="C172" s="53" t="s">
        <v>12</v>
      </c>
      <c r="D172" s="54">
        <v>395.66</v>
      </c>
      <c r="E172" s="52"/>
    </row>
    <row r="173" spans="1:5" ht="14.25" customHeight="1" x14ac:dyDescent="0.3">
      <c r="A173" s="55" t="s">
        <v>83</v>
      </c>
      <c r="B173" s="56">
        <v>85</v>
      </c>
      <c r="C173" s="56" t="s">
        <v>29</v>
      </c>
      <c r="D173" s="56"/>
      <c r="E173" s="57">
        <v>395.66</v>
      </c>
    </row>
    <row r="174" spans="1:5" ht="14.25" customHeight="1" x14ac:dyDescent="0.3">
      <c r="A174" s="52" t="s">
        <v>83</v>
      </c>
      <c r="B174" s="53">
        <v>86</v>
      </c>
      <c r="C174" s="53" t="s">
        <v>12</v>
      </c>
      <c r="D174" s="54">
        <v>256.72000000000003</v>
      </c>
      <c r="E174" s="52"/>
    </row>
    <row r="175" spans="1:5" ht="14.25" customHeight="1" x14ac:dyDescent="0.3">
      <c r="A175" s="55" t="s">
        <v>83</v>
      </c>
      <c r="B175" s="56">
        <v>86</v>
      </c>
      <c r="C175" s="56" t="s">
        <v>29</v>
      </c>
      <c r="D175" s="56"/>
      <c r="E175" s="57">
        <v>256.72000000000003</v>
      </c>
    </row>
    <row r="176" spans="1:5" ht="14.25" customHeight="1" x14ac:dyDescent="0.3">
      <c r="A176" s="52" t="s">
        <v>83</v>
      </c>
      <c r="B176" s="53">
        <v>87</v>
      </c>
      <c r="C176" s="53" t="s">
        <v>12</v>
      </c>
      <c r="D176" s="54">
        <v>275</v>
      </c>
      <c r="E176" s="52"/>
    </row>
    <row r="177" spans="1:5" ht="14.25" customHeight="1" x14ac:dyDescent="0.3">
      <c r="A177" s="55" t="s">
        <v>83</v>
      </c>
      <c r="B177" s="56">
        <v>87</v>
      </c>
      <c r="C177" s="56" t="s">
        <v>14</v>
      </c>
      <c r="D177" s="56"/>
      <c r="E177" s="57">
        <v>275</v>
      </c>
    </row>
    <row r="178" spans="1:5" ht="14.25" customHeight="1" x14ac:dyDescent="0.3">
      <c r="A178" s="52" t="s">
        <v>83</v>
      </c>
      <c r="B178" s="53">
        <v>88</v>
      </c>
      <c r="C178" s="53" t="s">
        <v>39</v>
      </c>
      <c r="D178" s="54">
        <v>75</v>
      </c>
      <c r="E178" s="52"/>
    </row>
    <row r="179" spans="1:5" ht="14.25" customHeight="1" x14ac:dyDescent="0.3">
      <c r="A179" s="55" t="s">
        <v>83</v>
      </c>
      <c r="B179" s="56">
        <v>88</v>
      </c>
      <c r="C179" s="56" t="s">
        <v>12</v>
      </c>
      <c r="D179" s="56"/>
      <c r="E179" s="57">
        <v>75</v>
      </c>
    </row>
    <row r="180" spans="1:5" ht="14.25" customHeight="1" x14ac:dyDescent="0.3">
      <c r="A180" s="52" t="s">
        <v>221</v>
      </c>
      <c r="B180" s="53">
        <v>89</v>
      </c>
      <c r="C180" s="53" t="s">
        <v>14</v>
      </c>
      <c r="D180" s="54">
        <v>677.51</v>
      </c>
      <c r="E180" s="52"/>
    </row>
    <row r="181" spans="1:5" ht="14.25" customHeight="1" x14ac:dyDescent="0.3">
      <c r="A181" s="55" t="s">
        <v>221</v>
      </c>
      <c r="B181" s="56">
        <v>89</v>
      </c>
      <c r="C181" s="56" t="s">
        <v>29</v>
      </c>
      <c r="D181" s="56"/>
      <c r="E181" s="57">
        <v>677.51</v>
      </c>
    </row>
    <row r="182" spans="1:5" ht="14.25" customHeight="1" x14ac:dyDescent="0.3">
      <c r="A182" s="52" t="s">
        <v>221</v>
      </c>
      <c r="B182" s="53">
        <v>90</v>
      </c>
      <c r="C182" s="53" t="s">
        <v>14</v>
      </c>
      <c r="D182" s="54">
        <v>198.5</v>
      </c>
      <c r="E182" s="52"/>
    </row>
    <row r="183" spans="1:5" ht="14.25" customHeight="1" x14ac:dyDescent="0.3">
      <c r="A183" s="55" t="s">
        <v>221</v>
      </c>
      <c r="B183" s="56">
        <v>90</v>
      </c>
      <c r="C183" s="56" t="s">
        <v>29</v>
      </c>
      <c r="D183" s="56"/>
      <c r="E183" s="57">
        <v>198.5</v>
      </c>
    </row>
    <row r="184" spans="1:5" ht="14.25" customHeight="1" x14ac:dyDescent="0.3">
      <c r="A184" s="52" t="s">
        <v>221</v>
      </c>
      <c r="B184" s="53">
        <v>91</v>
      </c>
      <c r="C184" s="53" t="s">
        <v>38</v>
      </c>
      <c r="D184" s="54">
        <v>260</v>
      </c>
      <c r="E184" s="52"/>
    </row>
    <row r="185" spans="1:5" ht="14.25" customHeight="1" x14ac:dyDescent="0.3">
      <c r="A185" s="55" t="s">
        <v>221</v>
      </c>
      <c r="B185" s="56">
        <v>91</v>
      </c>
      <c r="C185" s="56" t="s">
        <v>12</v>
      </c>
      <c r="D185" s="56"/>
      <c r="E185" s="57">
        <v>260</v>
      </c>
    </row>
    <row r="186" spans="1:5" ht="14.25" customHeight="1" x14ac:dyDescent="0.3">
      <c r="A186" s="52" t="s">
        <v>348</v>
      </c>
      <c r="B186" s="53">
        <v>92</v>
      </c>
      <c r="C186" s="53" t="s">
        <v>14</v>
      </c>
      <c r="D186" s="54">
        <v>157.83000000000001</v>
      </c>
      <c r="E186" s="52"/>
    </row>
    <row r="187" spans="1:5" ht="14.25" customHeight="1" x14ac:dyDescent="0.3">
      <c r="A187" s="55" t="s">
        <v>348</v>
      </c>
      <c r="B187" s="56">
        <v>92</v>
      </c>
      <c r="C187" s="56" t="s">
        <v>29</v>
      </c>
      <c r="D187" s="56"/>
      <c r="E187" s="57">
        <v>157.83000000000001</v>
      </c>
    </row>
    <row r="188" spans="1:5" ht="14.25" customHeight="1" x14ac:dyDescent="0.3">
      <c r="A188" s="52" t="s">
        <v>348</v>
      </c>
      <c r="B188" s="53">
        <v>93</v>
      </c>
      <c r="C188" s="53" t="s">
        <v>12</v>
      </c>
      <c r="D188" s="54">
        <v>215.5</v>
      </c>
      <c r="E188" s="52"/>
    </row>
    <row r="189" spans="1:5" ht="14.25" customHeight="1" x14ac:dyDescent="0.3">
      <c r="A189" s="55" t="s">
        <v>348</v>
      </c>
      <c r="B189" s="56">
        <v>93</v>
      </c>
      <c r="C189" s="56" t="s">
        <v>29</v>
      </c>
      <c r="D189" s="56"/>
      <c r="E189" s="57">
        <v>215.5</v>
      </c>
    </row>
    <row r="190" spans="1:5" ht="14.25" customHeight="1" x14ac:dyDescent="0.3">
      <c r="A190" s="52" t="s">
        <v>348</v>
      </c>
      <c r="B190" s="53">
        <v>94</v>
      </c>
      <c r="C190" s="53" t="s">
        <v>15</v>
      </c>
      <c r="D190" s="54">
        <v>365.75</v>
      </c>
      <c r="E190" s="52"/>
    </row>
    <row r="191" spans="1:5" ht="14.25" customHeight="1" x14ac:dyDescent="0.3">
      <c r="A191" s="55" t="s">
        <v>348</v>
      </c>
      <c r="B191" s="56">
        <v>94</v>
      </c>
      <c r="C191" s="56" t="s">
        <v>20</v>
      </c>
      <c r="D191" s="56"/>
      <c r="E191" s="57">
        <v>365.75</v>
      </c>
    </row>
    <row r="192" spans="1:5" ht="14.25" customHeight="1" x14ac:dyDescent="0.3">
      <c r="A192" s="52" t="s">
        <v>154</v>
      </c>
      <c r="B192" s="53">
        <v>95</v>
      </c>
      <c r="C192" s="53" t="s">
        <v>12</v>
      </c>
      <c r="D192" s="54">
        <v>350.4</v>
      </c>
      <c r="E192" s="52"/>
    </row>
    <row r="193" spans="1:5" ht="14.25" customHeight="1" x14ac:dyDescent="0.3">
      <c r="A193" s="55" t="s">
        <v>154</v>
      </c>
      <c r="B193" s="56">
        <v>95</v>
      </c>
      <c r="C193" s="56" t="s">
        <v>14</v>
      </c>
      <c r="D193" s="56"/>
      <c r="E193" s="57">
        <v>350.4</v>
      </c>
    </row>
    <row r="194" spans="1:5" ht="14.25" customHeight="1" x14ac:dyDescent="0.3">
      <c r="A194" s="52" t="s">
        <v>154</v>
      </c>
      <c r="B194" s="53">
        <v>96</v>
      </c>
      <c r="C194" s="53" t="s">
        <v>12</v>
      </c>
      <c r="D194" s="54">
        <v>364.54</v>
      </c>
      <c r="E194" s="52"/>
    </row>
    <row r="195" spans="1:5" ht="14.25" customHeight="1" x14ac:dyDescent="0.3">
      <c r="A195" s="55" t="s">
        <v>154</v>
      </c>
      <c r="B195" s="56">
        <v>96</v>
      </c>
      <c r="C195" s="56" t="s">
        <v>29</v>
      </c>
      <c r="D195" s="56"/>
      <c r="E195" s="57">
        <v>364.54</v>
      </c>
    </row>
    <row r="196" spans="1:5" ht="14.25" customHeight="1" x14ac:dyDescent="0.3">
      <c r="A196" s="52" t="s">
        <v>154</v>
      </c>
      <c r="B196" s="53">
        <v>97</v>
      </c>
      <c r="C196" s="53" t="s">
        <v>12</v>
      </c>
      <c r="D196" s="54">
        <v>587.80999999999995</v>
      </c>
      <c r="E196" s="52"/>
    </row>
    <row r="197" spans="1:5" ht="14.25" customHeight="1" x14ac:dyDescent="0.3">
      <c r="A197" s="55" t="s">
        <v>154</v>
      </c>
      <c r="B197" s="56">
        <v>97</v>
      </c>
      <c r="C197" s="56" t="s">
        <v>14</v>
      </c>
      <c r="D197" s="56"/>
      <c r="E197" s="57">
        <v>587.80999999999995</v>
      </c>
    </row>
    <row r="198" spans="1:5" ht="14.25" customHeight="1" x14ac:dyDescent="0.3">
      <c r="A198" s="52" t="s">
        <v>154</v>
      </c>
      <c r="B198" s="53">
        <v>98</v>
      </c>
      <c r="C198" s="53" t="s">
        <v>12</v>
      </c>
      <c r="D198" s="54">
        <v>340</v>
      </c>
      <c r="E198" s="52"/>
    </row>
    <row r="199" spans="1:5" ht="14.25" customHeight="1" x14ac:dyDescent="0.3">
      <c r="A199" s="55" t="s">
        <v>154</v>
      </c>
      <c r="B199" s="56">
        <v>98</v>
      </c>
      <c r="C199" s="56" t="s">
        <v>14</v>
      </c>
      <c r="D199" s="56"/>
      <c r="E199" s="57">
        <v>340</v>
      </c>
    </row>
    <row r="200" spans="1:5" ht="14.25" customHeight="1" x14ac:dyDescent="0.3">
      <c r="A200" s="52" t="s">
        <v>154</v>
      </c>
      <c r="B200" s="53">
        <v>99</v>
      </c>
      <c r="C200" s="53" t="s">
        <v>39</v>
      </c>
      <c r="D200" s="54">
        <v>90</v>
      </c>
      <c r="E200" s="52"/>
    </row>
    <row r="201" spans="1:5" ht="14.25" customHeight="1" x14ac:dyDescent="0.3">
      <c r="A201" s="55" t="s">
        <v>154</v>
      </c>
      <c r="B201" s="56">
        <v>99</v>
      </c>
      <c r="C201" s="56" t="s">
        <v>12</v>
      </c>
      <c r="D201" s="56"/>
      <c r="E201" s="57">
        <v>90</v>
      </c>
    </row>
    <row r="202" spans="1:5" ht="14.25" customHeight="1" x14ac:dyDescent="0.3">
      <c r="A202" s="52" t="s">
        <v>333</v>
      </c>
      <c r="B202" s="53">
        <v>100</v>
      </c>
      <c r="C202" s="53" t="s">
        <v>12</v>
      </c>
      <c r="D202" s="54">
        <v>254.39</v>
      </c>
      <c r="E202" s="52"/>
    </row>
    <row r="203" spans="1:5" ht="14.25" customHeight="1" x14ac:dyDescent="0.3">
      <c r="A203" s="55" t="s">
        <v>333</v>
      </c>
      <c r="B203" s="56">
        <v>100</v>
      </c>
      <c r="C203" s="56" t="s">
        <v>29</v>
      </c>
      <c r="D203" s="56"/>
      <c r="E203" s="57">
        <v>254.39</v>
      </c>
    </row>
    <row r="204" spans="1:5" ht="14.25" customHeight="1" x14ac:dyDescent="0.3">
      <c r="A204" s="52" t="s">
        <v>333</v>
      </c>
      <c r="B204" s="53">
        <v>101</v>
      </c>
      <c r="C204" s="53" t="s">
        <v>12</v>
      </c>
      <c r="D204" s="54">
        <v>142.30000000000001</v>
      </c>
      <c r="E204" s="52"/>
    </row>
    <row r="205" spans="1:5" ht="14.25" customHeight="1" x14ac:dyDescent="0.3">
      <c r="A205" s="55" t="s">
        <v>333</v>
      </c>
      <c r="B205" s="56">
        <v>101</v>
      </c>
      <c r="C205" s="56" t="s">
        <v>29</v>
      </c>
      <c r="D205" s="56"/>
      <c r="E205" s="57">
        <v>142.30000000000001</v>
      </c>
    </row>
    <row r="206" spans="1:5" ht="14.25" customHeight="1" x14ac:dyDescent="0.3">
      <c r="A206" s="52" t="s">
        <v>333</v>
      </c>
      <c r="B206" s="53">
        <v>102</v>
      </c>
      <c r="C206" s="53" t="s">
        <v>15</v>
      </c>
      <c r="D206" s="54">
        <v>88.4</v>
      </c>
      <c r="E206" s="52"/>
    </row>
    <row r="207" spans="1:5" ht="14.25" customHeight="1" x14ac:dyDescent="0.3">
      <c r="A207" s="55" t="s">
        <v>333</v>
      </c>
      <c r="B207" s="56">
        <v>102</v>
      </c>
      <c r="C207" s="56" t="s">
        <v>12</v>
      </c>
      <c r="D207" s="56"/>
      <c r="E207" s="57">
        <v>88.4</v>
      </c>
    </row>
    <row r="208" spans="1:5" ht="14.25" customHeight="1" x14ac:dyDescent="0.3">
      <c r="A208" s="52" t="s">
        <v>349</v>
      </c>
      <c r="B208" s="53">
        <v>103</v>
      </c>
      <c r="C208" s="53" t="s">
        <v>12</v>
      </c>
      <c r="D208" s="54">
        <v>100.09</v>
      </c>
      <c r="E208" s="52"/>
    </row>
    <row r="209" spans="1:5" ht="14.25" customHeight="1" x14ac:dyDescent="0.3">
      <c r="A209" s="55" t="s">
        <v>349</v>
      </c>
      <c r="B209" s="56">
        <v>103</v>
      </c>
      <c r="C209" s="56" t="s">
        <v>29</v>
      </c>
      <c r="D209" s="56"/>
      <c r="E209" s="57">
        <v>100.09</v>
      </c>
    </row>
    <row r="210" spans="1:5" ht="14.25" customHeight="1" x14ac:dyDescent="0.3">
      <c r="A210" s="52" t="s">
        <v>349</v>
      </c>
      <c r="B210" s="53">
        <v>104</v>
      </c>
      <c r="C210" s="53" t="s">
        <v>12</v>
      </c>
      <c r="D210" s="54">
        <v>101.15</v>
      </c>
      <c r="E210" s="52"/>
    </row>
    <row r="211" spans="1:5" ht="14.25" customHeight="1" x14ac:dyDescent="0.3">
      <c r="A211" s="55" t="s">
        <v>349</v>
      </c>
      <c r="B211" s="56">
        <v>104</v>
      </c>
      <c r="C211" s="56" t="s">
        <v>29</v>
      </c>
      <c r="D211" s="56"/>
      <c r="E211" s="57">
        <v>101.15</v>
      </c>
    </row>
    <row r="212" spans="1:5" ht="14.25" customHeight="1" x14ac:dyDescent="0.3">
      <c r="A212" s="52" t="s">
        <v>349</v>
      </c>
      <c r="B212" s="53">
        <v>105</v>
      </c>
      <c r="C212" s="53" t="s">
        <v>34</v>
      </c>
      <c r="D212" s="54">
        <v>3225</v>
      </c>
      <c r="E212" s="52"/>
    </row>
    <row r="213" spans="1:5" ht="14.25" customHeight="1" x14ac:dyDescent="0.3">
      <c r="A213" s="55" t="s">
        <v>349</v>
      </c>
      <c r="B213" s="56">
        <v>105</v>
      </c>
      <c r="C213" s="56" t="s">
        <v>12</v>
      </c>
      <c r="D213" s="56"/>
      <c r="E213" s="57">
        <v>3225</v>
      </c>
    </row>
    <row r="214" spans="1:5" ht="14.25" customHeight="1" x14ac:dyDescent="0.3">
      <c r="A214" s="52" t="s">
        <v>331</v>
      </c>
      <c r="B214" s="53">
        <v>106</v>
      </c>
      <c r="C214" s="53" t="s">
        <v>12</v>
      </c>
      <c r="D214" s="54">
        <v>398.34</v>
      </c>
      <c r="E214" s="52"/>
    </row>
    <row r="215" spans="1:5" ht="14.25" customHeight="1" x14ac:dyDescent="0.3">
      <c r="A215" s="55" t="s">
        <v>331</v>
      </c>
      <c r="B215" s="56">
        <v>106</v>
      </c>
      <c r="C215" s="56" t="s">
        <v>29</v>
      </c>
      <c r="D215" s="56"/>
      <c r="E215" s="57">
        <v>398.34</v>
      </c>
    </row>
    <row r="216" spans="1:5" ht="14.25" customHeight="1" x14ac:dyDescent="0.3">
      <c r="A216" s="52" t="s">
        <v>331</v>
      </c>
      <c r="B216" s="53">
        <v>107</v>
      </c>
      <c r="C216" s="53" t="s">
        <v>12</v>
      </c>
      <c r="D216" s="54">
        <v>84.15</v>
      </c>
      <c r="E216" s="52"/>
    </row>
    <row r="217" spans="1:5" ht="14.25" customHeight="1" x14ac:dyDescent="0.3">
      <c r="A217" s="55" t="s">
        <v>331</v>
      </c>
      <c r="B217" s="56">
        <v>107</v>
      </c>
      <c r="C217" s="56" t="s">
        <v>29</v>
      </c>
      <c r="D217" s="56"/>
      <c r="E217" s="57">
        <v>84.15</v>
      </c>
    </row>
    <row r="218" spans="1:5" ht="14.25" customHeight="1" x14ac:dyDescent="0.3">
      <c r="A218" s="52" t="s">
        <v>331</v>
      </c>
      <c r="B218" s="53">
        <v>108</v>
      </c>
      <c r="C218" s="53" t="s">
        <v>20</v>
      </c>
      <c r="D218" s="54">
        <v>500</v>
      </c>
      <c r="E218" s="52"/>
    </row>
    <row r="219" spans="1:5" ht="14.25" customHeight="1" x14ac:dyDescent="0.3">
      <c r="A219" s="55" t="s">
        <v>331</v>
      </c>
      <c r="B219" s="56">
        <v>108</v>
      </c>
      <c r="C219" s="56" t="s">
        <v>12</v>
      </c>
      <c r="D219" s="56"/>
      <c r="E219" s="57">
        <v>500</v>
      </c>
    </row>
    <row r="220" spans="1:5" ht="14.25" customHeight="1" x14ac:dyDescent="0.3">
      <c r="A220" s="52" t="s">
        <v>86</v>
      </c>
      <c r="B220" s="53">
        <v>109</v>
      </c>
      <c r="C220" s="53" t="s">
        <v>14</v>
      </c>
      <c r="D220" s="54">
        <v>573.14</v>
      </c>
      <c r="E220" s="52"/>
    </row>
    <row r="221" spans="1:5" ht="14.25" customHeight="1" x14ac:dyDescent="0.3">
      <c r="A221" s="55" t="s">
        <v>86</v>
      </c>
      <c r="B221" s="56">
        <v>109</v>
      </c>
      <c r="C221" s="56" t="s">
        <v>29</v>
      </c>
      <c r="D221" s="56"/>
      <c r="E221" s="57">
        <v>573.14</v>
      </c>
    </row>
    <row r="222" spans="1:5" ht="14.25" customHeight="1" x14ac:dyDescent="0.3">
      <c r="A222" s="52" t="s">
        <v>86</v>
      </c>
      <c r="B222" s="53">
        <v>110</v>
      </c>
      <c r="C222" s="53" t="s">
        <v>12</v>
      </c>
      <c r="D222" s="54">
        <v>520.61</v>
      </c>
      <c r="E222" s="52"/>
    </row>
    <row r="223" spans="1:5" ht="14.25" customHeight="1" x14ac:dyDescent="0.3">
      <c r="A223" s="55" t="s">
        <v>86</v>
      </c>
      <c r="B223" s="56">
        <v>110</v>
      </c>
      <c r="C223" s="56" t="s">
        <v>14</v>
      </c>
      <c r="D223" s="56"/>
      <c r="E223" s="57">
        <v>520.61</v>
      </c>
    </row>
    <row r="224" spans="1:5" ht="14.25" customHeight="1" x14ac:dyDescent="0.3">
      <c r="A224" s="52" t="s">
        <v>86</v>
      </c>
      <c r="B224" s="53">
        <v>111</v>
      </c>
      <c r="C224" s="53" t="s">
        <v>12</v>
      </c>
      <c r="D224" s="54">
        <v>106.99</v>
      </c>
      <c r="E224" s="52"/>
    </row>
    <row r="225" spans="1:5" ht="14.25" customHeight="1" x14ac:dyDescent="0.3">
      <c r="A225" s="55" t="s">
        <v>86</v>
      </c>
      <c r="B225" s="56">
        <v>111</v>
      </c>
      <c r="C225" s="56" t="s">
        <v>14</v>
      </c>
      <c r="D225" s="56"/>
      <c r="E225" s="57">
        <v>106.99</v>
      </c>
    </row>
    <row r="226" spans="1:5" ht="14.25" customHeight="1" x14ac:dyDescent="0.3">
      <c r="A226" s="52" t="s">
        <v>86</v>
      </c>
      <c r="B226" s="53">
        <v>112</v>
      </c>
      <c r="C226" s="53" t="s">
        <v>12</v>
      </c>
      <c r="D226" s="54">
        <v>381.83</v>
      </c>
      <c r="E226" s="52"/>
    </row>
    <row r="227" spans="1:5" ht="14.25" customHeight="1" x14ac:dyDescent="0.3">
      <c r="A227" s="55" t="s">
        <v>86</v>
      </c>
      <c r="B227" s="56">
        <v>112</v>
      </c>
      <c r="C227" s="56" t="s">
        <v>29</v>
      </c>
      <c r="D227" s="56"/>
      <c r="E227" s="57">
        <v>381.83</v>
      </c>
    </row>
    <row r="228" spans="1:5" ht="14.25" customHeight="1" x14ac:dyDescent="0.3">
      <c r="A228" s="52" t="s">
        <v>86</v>
      </c>
      <c r="B228" s="53">
        <v>113</v>
      </c>
      <c r="C228" s="53" t="s">
        <v>12</v>
      </c>
      <c r="D228" s="54">
        <v>310.60000000000002</v>
      </c>
      <c r="E228" s="52"/>
    </row>
    <row r="229" spans="1:5" ht="14.25" customHeight="1" x14ac:dyDescent="0.3">
      <c r="A229" s="55" t="s">
        <v>86</v>
      </c>
      <c r="B229" s="56">
        <v>113</v>
      </c>
      <c r="C229" s="56" t="s">
        <v>29</v>
      </c>
      <c r="D229" s="56"/>
      <c r="E229" s="57">
        <v>310.60000000000002</v>
      </c>
    </row>
    <row r="230" spans="1:5" ht="14.25" customHeight="1" x14ac:dyDescent="0.3">
      <c r="A230" s="52" t="s">
        <v>86</v>
      </c>
      <c r="B230" s="53">
        <v>114</v>
      </c>
      <c r="C230" s="53" t="s">
        <v>15</v>
      </c>
      <c r="D230" s="54">
        <v>228.9</v>
      </c>
      <c r="E230" s="52"/>
    </row>
    <row r="231" spans="1:5" ht="14.25" customHeight="1" x14ac:dyDescent="0.3">
      <c r="A231" s="55" t="s">
        <v>86</v>
      </c>
      <c r="B231" s="56">
        <v>114</v>
      </c>
      <c r="C231" s="56" t="s">
        <v>20</v>
      </c>
      <c r="D231" s="56"/>
      <c r="E231" s="57">
        <v>228.9</v>
      </c>
    </row>
    <row r="232" spans="1:5" ht="14.25" customHeight="1" x14ac:dyDescent="0.3">
      <c r="A232" s="52" t="s">
        <v>350</v>
      </c>
      <c r="B232" s="53">
        <v>115</v>
      </c>
      <c r="C232" s="53" t="s">
        <v>12</v>
      </c>
      <c r="D232" s="54">
        <v>244.47</v>
      </c>
      <c r="E232" s="52"/>
    </row>
    <row r="233" spans="1:5" ht="14.25" customHeight="1" x14ac:dyDescent="0.3">
      <c r="A233" s="55" t="s">
        <v>350</v>
      </c>
      <c r="B233" s="56">
        <v>115</v>
      </c>
      <c r="C233" s="56" t="s">
        <v>29</v>
      </c>
      <c r="D233" s="56"/>
      <c r="E233" s="57">
        <v>244.47</v>
      </c>
    </row>
    <row r="234" spans="1:5" ht="14.25" customHeight="1" x14ac:dyDescent="0.3">
      <c r="A234" s="52" t="s">
        <v>350</v>
      </c>
      <c r="B234" s="53">
        <v>116</v>
      </c>
      <c r="C234" s="53" t="s">
        <v>14</v>
      </c>
      <c r="D234" s="54">
        <v>505</v>
      </c>
      <c r="E234" s="52"/>
    </row>
    <row r="235" spans="1:5" ht="14.25" customHeight="1" x14ac:dyDescent="0.3">
      <c r="A235" s="55" t="s">
        <v>350</v>
      </c>
      <c r="B235" s="56">
        <v>116</v>
      </c>
      <c r="C235" s="56" t="s">
        <v>29</v>
      </c>
      <c r="D235" s="56"/>
      <c r="E235" s="57">
        <v>505</v>
      </c>
    </row>
    <row r="236" spans="1:5" ht="14.25" customHeight="1" x14ac:dyDescent="0.3">
      <c r="A236" s="52" t="s">
        <v>350</v>
      </c>
      <c r="B236" s="53">
        <v>117</v>
      </c>
      <c r="C236" s="53" t="s">
        <v>24</v>
      </c>
      <c r="D236" s="54">
        <v>550</v>
      </c>
      <c r="E236" s="52"/>
    </row>
    <row r="237" spans="1:5" ht="14.25" customHeight="1" x14ac:dyDescent="0.3">
      <c r="A237" s="55" t="s">
        <v>350</v>
      </c>
      <c r="B237" s="56">
        <v>117</v>
      </c>
      <c r="C237" s="56" t="s">
        <v>12</v>
      </c>
      <c r="D237" s="58"/>
      <c r="E237" s="57">
        <v>550</v>
      </c>
    </row>
  </sheetData>
  <sheetProtection algorithmName="SHA-512" hashValue="fJ4Maxs3u/qSpEY0jEVx0KWc/k76GhQwN8IqVvTBbLkAK9oYn0MBOLRKjv4t6mqVXFzo5zfaL6MqSp3eZ1Cclw==" saltValue="UxFXmPrFAFOv/AlJBipe1w==" spinCount="100000" sheet="1" objects="1" scenarios="1" selectLockedCells="1"/>
  <pageMargins left="0.7" right="0.7" top="0.75" bottom="0.75" header="0.511811023622047" footer="0.511811023622047"/>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J28"/>
  <sheetViews>
    <sheetView showGridLines="0" topLeftCell="B1" zoomScaleNormal="100" workbookViewId="0">
      <selection activeCell="D28" sqref="D27:D28"/>
    </sheetView>
    <sheetView topLeftCell="B1" workbookViewId="1">
      <selection activeCell="K2" sqref="A1:XFD1048576"/>
    </sheetView>
  </sheetViews>
  <sheetFormatPr defaultColWidth="8.6640625" defaultRowHeight="14.4" x14ac:dyDescent="0.3"/>
  <cols>
    <col min="1" max="1" width="8" style="13" hidden="1" customWidth="1"/>
    <col min="2" max="2" width="33.33203125" style="13" bestFit="1" customWidth="1"/>
    <col min="3" max="10" width="13" style="13" customWidth="1"/>
    <col min="11" max="16384" width="8.6640625" style="13"/>
  </cols>
  <sheetData>
    <row r="1" spans="1:10" ht="21" customHeight="1" x14ac:dyDescent="0.3">
      <c r="A1" s="79" t="s">
        <v>452</v>
      </c>
      <c r="B1" s="79"/>
      <c r="C1" s="79"/>
      <c r="D1" s="79"/>
      <c r="E1" s="79"/>
      <c r="F1" s="79"/>
      <c r="G1" s="79"/>
      <c r="H1" s="79"/>
      <c r="I1" s="79"/>
      <c r="J1" s="79"/>
    </row>
    <row r="2" spans="1:10" ht="25.5" customHeight="1" x14ac:dyDescent="0.3">
      <c r="A2" s="80"/>
      <c r="B2" s="80"/>
      <c r="C2" s="80"/>
      <c r="D2" s="80"/>
      <c r="E2" s="80"/>
      <c r="F2" s="80"/>
      <c r="G2" s="80"/>
      <c r="H2" s="80"/>
      <c r="I2" s="80"/>
      <c r="J2" s="80"/>
    </row>
    <row r="3" spans="1:10" ht="14.25" customHeight="1" x14ac:dyDescent="0.3">
      <c r="A3" s="40"/>
      <c r="B3" s="40"/>
      <c r="C3" s="16" t="s">
        <v>351</v>
      </c>
      <c r="D3" s="16"/>
      <c r="E3" s="40"/>
      <c r="F3" s="16" t="s">
        <v>352</v>
      </c>
      <c r="G3" s="16"/>
      <c r="H3" s="40"/>
      <c r="I3" s="16" t="s">
        <v>353</v>
      </c>
      <c r="J3" s="16"/>
    </row>
    <row r="4" spans="1:10" ht="14.25" customHeight="1" x14ac:dyDescent="0.3">
      <c r="A4" s="40"/>
      <c r="B4" s="41" t="s">
        <v>9</v>
      </c>
      <c r="C4" s="41" t="s">
        <v>10</v>
      </c>
      <c r="D4" s="41" t="s">
        <v>11</v>
      </c>
      <c r="E4" s="40"/>
      <c r="F4" s="42" t="s">
        <v>10</v>
      </c>
      <c r="G4" s="42" t="s">
        <v>11</v>
      </c>
      <c r="H4" s="40"/>
      <c r="I4" s="42" t="s">
        <v>10</v>
      </c>
      <c r="J4" s="42" t="s">
        <v>11</v>
      </c>
    </row>
    <row r="5" spans="1:10" ht="14.25" customHeight="1" x14ac:dyDescent="0.3">
      <c r="A5" s="40"/>
      <c r="B5" s="43" t="str">
        <f>Overview!A9</f>
        <v>Cash</v>
      </c>
      <c r="C5" s="44">
        <f>IFERROR(INDEX(Overview!$F$9:$F$18,MATCH($B5,Overview!$E$9:$E$18,0)),0)</f>
        <v>18500</v>
      </c>
      <c r="D5" s="44">
        <f>IFERROR(INDEX(Overview!$G$9:$G$18,MATCH($B5,Overview!$E$9:$E$18,0)),0)</f>
        <v>0</v>
      </c>
      <c r="E5" s="40"/>
      <c r="F5" s="44">
        <f>SUMIFS(Transaction_Log!$D$4:$D$237,Transaction_Log!$C$4:$C$237,$B5)</f>
        <v>15783.689999999997</v>
      </c>
      <c r="G5" s="44">
        <f>SUMIFS(Transaction_Log!$E$4:$E$237,Transaction_Log!$C$4:$C$237,$B5)</f>
        <v>19237.349999999999</v>
      </c>
      <c r="H5" s="40"/>
      <c r="I5" s="44">
        <f t="shared" ref="I5:I26" si="0">IF((C5-D5+F5-G5)&gt;=0,(C5-D5+F5-G5),0)</f>
        <v>15046.339999999997</v>
      </c>
      <c r="J5" s="44">
        <f t="shared" ref="J5:J26" si="1">IF((C5-D5+F5-G5)&lt;0,-((C5-D5+F5-G5)),0)</f>
        <v>0</v>
      </c>
    </row>
    <row r="6" spans="1:10" ht="14.25" customHeight="1" x14ac:dyDescent="0.3">
      <c r="B6" s="43" t="str">
        <f>Overview!A10</f>
        <v>Accounts Receivable</v>
      </c>
      <c r="C6" s="44">
        <f>IFERROR(INDEX(Overview!$F$9:$F$18,MATCH($B6,Overview!$E$9:$E$18,0)),0)</f>
        <v>4200</v>
      </c>
      <c r="D6" s="44">
        <f>IFERROR(INDEX(Overview!$G$9:$G$18,MATCH($B6,Overview!$E$9:$E$18,0)),0)</f>
        <v>0</v>
      </c>
      <c r="E6" s="40"/>
      <c r="F6" s="44">
        <f>SUMIFS(Transaction_Log!$D$4:$D$237,Transaction_Log!$C$4:$C$237,$B6)</f>
        <v>11842.570000000002</v>
      </c>
      <c r="G6" s="44">
        <f>SUMIFS(Transaction_Log!$E$4:$E$237,Transaction_Log!$C$4:$C$237,$B6)</f>
        <v>4183.93</v>
      </c>
      <c r="H6" s="40"/>
      <c r="I6" s="44">
        <f t="shared" si="0"/>
        <v>11858.640000000001</v>
      </c>
      <c r="J6" s="44">
        <f t="shared" si="1"/>
        <v>0</v>
      </c>
    </row>
    <row r="7" spans="1:10" ht="14.25" customHeight="1" x14ac:dyDescent="0.3">
      <c r="B7" s="43" t="str">
        <f>Overview!A11</f>
        <v>Supplies</v>
      </c>
      <c r="C7" s="44">
        <f>IFERROR(INDEX(Overview!$F$9:$F$18,MATCH($B7,Overview!$E$9:$E$18,0)),0)</f>
        <v>1100</v>
      </c>
      <c r="D7" s="44">
        <f>IFERROR(INDEX(Overview!$G$9:$G$18,MATCH($B7,Overview!$E$9:$E$18,0)),0)</f>
        <v>0</v>
      </c>
      <c r="E7" s="40"/>
      <c r="F7" s="44">
        <f>SUMIFS(Transaction_Log!$D$4:$D$237,Transaction_Log!$C$4:$C$237,$B7)</f>
        <v>2332.0500000000002</v>
      </c>
      <c r="G7" s="44">
        <f>SUMIFS(Transaction_Log!$E$4:$E$237,Transaction_Log!$C$4:$C$237,$B7)</f>
        <v>0</v>
      </c>
      <c r="H7" s="40"/>
      <c r="I7" s="44">
        <f t="shared" si="0"/>
        <v>3432.05</v>
      </c>
      <c r="J7" s="44">
        <f t="shared" si="1"/>
        <v>0</v>
      </c>
    </row>
    <row r="8" spans="1:10" ht="14.25" customHeight="1" x14ac:dyDescent="0.3">
      <c r="B8" s="43" t="str">
        <f>Overview!A12</f>
        <v>Prepaid Insurance</v>
      </c>
      <c r="C8" s="44">
        <f>IFERROR(INDEX(Overview!$F$9:$F$18,MATCH($B8,Overview!$E$9:$E$18,0)),0)</f>
        <v>2000</v>
      </c>
      <c r="D8" s="44">
        <f>IFERROR(INDEX(Overview!$G$9:$G$18,MATCH($B8,Overview!$E$9:$E$18,0)),0)</f>
        <v>0</v>
      </c>
      <c r="E8" s="40"/>
      <c r="F8" s="44">
        <f>SUMIFS(Transaction_Log!$D$4:$D$237,Transaction_Log!$C$4:$C$237,$B8)</f>
        <v>0</v>
      </c>
      <c r="G8" s="44">
        <f>SUMIFS(Transaction_Log!$E$4:$E$237,Transaction_Log!$C$4:$C$237,$B8)</f>
        <v>0</v>
      </c>
      <c r="H8" s="40"/>
      <c r="I8" s="44">
        <f t="shared" si="0"/>
        <v>2000</v>
      </c>
      <c r="J8" s="44">
        <f t="shared" si="1"/>
        <v>0</v>
      </c>
    </row>
    <row r="9" spans="1:10" ht="14.25" customHeight="1" x14ac:dyDescent="0.3">
      <c r="B9" s="43" t="str">
        <f>Overview!A13</f>
        <v>Equipment</v>
      </c>
      <c r="C9" s="44">
        <f>IFERROR(INDEX(Overview!$F$9:$F$18,MATCH($B9,Overview!$E$9:$E$18,0)),0)</f>
        <v>12000</v>
      </c>
      <c r="D9" s="44">
        <f>IFERROR(INDEX(Overview!$G$9:$G$18,MATCH($B9,Overview!$E$9:$E$18,0)),0)</f>
        <v>0</v>
      </c>
      <c r="E9" s="40"/>
      <c r="F9" s="44">
        <f>SUMIFS(Transaction_Log!$D$4:$D$237,Transaction_Log!$C$4:$C$237,$B9)</f>
        <v>0</v>
      </c>
      <c r="G9" s="44">
        <f>SUMIFS(Transaction_Log!$E$4:$E$237,Transaction_Log!$C$4:$C$237,$B9)</f>
        <v>0</v>
      </c>
      <c r="H9" s="40"/>
      <c r="I9" s="44">
        <f t="shared" si="0"/>
        <v>12000</v>
      </c>
      <c r="J9" s="44">
        <f t="shared" si="1"/>
        <v>0</v>
      </c>
    </row>
    <row r="10" spans="1:10" ht="14.25" customHeight="1" x14ac:dyDescent="0.3">
      <c r="B10" s="43" t="str">
        <f>Overview!A14</f>
        <v>Accumulated Depreciation—Equipment</v>
      </c>
      <c r="C10" s="44">
        <f>IFERROR(INDEX(Overview!$F$9:$F$18,MATCH($B10,Overview!$E$9:$E$18,0)),0)</f>
        <v>0</v>
      </c>
      <c r="D10" s="44">
        <f>IFERROR(INDEX(Overview!$G$9:$G$18,MATCH($B10,Overview!$E$9:$E$18,0)),0)</f>
        <v>400</v>
      </c>
      <c r="E10" s="40"/>
      <c r="F10" s="44">
        <f>SUMIFS(Transaction_Log!$D$4:$D$237,Transaction_Log!$C$4:$C$237,$B10)</f>
        <v>0</v>
      </c>
      <c r="G10" s="44">
        <f>SUMIFS(Transaction_Log!$E$4:$E$237,Transaction_Log!$C$4:$C$237,$B10)</f>
        <v>0</v>
      </c>
      <c r="H10" s="40"/>
      <c r="I10" s="44">
        <f t="shared" si="0"/>
        <v>0</v>
      </c>
      <c r="J10" s="44">
        <f t="shared" si="1"/>
        <v>400</v>
      </c>
    </row>
    <row r="11" spans="1:10" ht="14.25" customHeight="1" x14ac:dyDescent="0.3">
      <c r="B11" s="43" t="str">
        <f>Overview!A15</f>
        <v>Accounts Payable</v>
      </c>
      <c r="C11" s="44">
        <f>IFERROR(INDEX(Overview!$F$9:$F$18,MATCH($B11,Overview!$E$9:$E$18,0)),0)</f>
        <v>0</v>
      </c>
      <c r="D11" s="44">
        <f>IFERROR(INDEX(Overview!$G$9:$G$18,MATCH($B11,Overview!$E$9:$E$18,0)),0)</f>
        <v>3150</v>
      </c>
      <c r="E11" s="40"/>
      <c r="F11" s="44">
        <f>SUMIFS(Transaction_Log!$D$4:$D$237,Transaction_Log!$C$4:$C$237,$B11)</f>
        <v>2650</v>
      </c>
      <c r="G11" s="44">
        <f>SUMIFS(Transaction_Log!$E$4:$E$237,Transaction_Log!$C$4:$C$237,$B11)</f>
        <v>1219.1500000000001</v>
      </c>
      <c r="H11" s="40"/>
      <c r="I11" s="44">
        <f t="shared" si="0"/>
        <v>0</v>
      </c>
      <c r="J11" s="44">
        <f t="shared" si="1"/>
        <v>1719.15</v>
      </c>
    </row>
    <row r="12" spans="1:10" ht="14.25" customHeight="1" x14ac:dyDescent="0.3">
      <c r="B12" s="43" t="str">
        <f>Overview!A16</f>
        <v>Unearned Revenue</v>
      </c>
      <c r="C12" s="44">
        <f>IFERROR(INDEX(Overview!$F$9:$F$18,MATCH($B12,Overview!$E$9:$E$18,0)),0)</f>
        <v>0</v>
      </c>
      <c r="D12" s="44">
        <f>IFERROR(INDEX(Overview!$G$9:$G$18,MATCH($B12,Overview!$E$9:$E$18,0)),0)</f>
        <v>1200</v>
      </c>
      <c r="E12" s="40"/>
      <c r="F12" s="44">
        <f>SUMIFS(Transaction_Log!$D$4:$D$237,Transaction_Log!$C$4:$C$237,$B12)</f>
        <v>0</v>
      </c>
      <c r="G12" s="44">
        <f>SUMIFS(Transaction_Log!$E$4:$E$237,Transaction_Log!$C$4:$C$237,$B12)</f>
        <v>0</v>
      </c>
      <c r="H12" s="40"/>
      <c r="I12" s="44">
        <f t="shared" si="0"/>
        <v>0</v>
      </c>
      <c r="J12" s="44">
        <f t="shared" si="1"/>
        <v>1200</v>
      </c>
    </row>
    <row r="13" spans="1:10" ht="14.25" customHeight="1" x14ac:dyDescent="0.3">
      <c r="B13" s="43" t="str">
        <f>Overview!A17</f>
        <v>Wages Payable</v>
      </c>
      <c r="C13" s="44">
        <f>IFERROR(INDEX(Overview!$F$9:$F$18,MATCH($B13,Overview!$E$9:$E$18,0)),0)</f>
        <v>0</v>
      </c>
      <c r="D13" s="44">
        <f>IFERROR(INDEX(Overview!$G$9:$G$18,MATCH($B13,Overview!$E$9:$E$18,0)),0)</f>
        <v>0</v>
      </c>
      <c r="E13" s="40"/>
      <c r="F13" s="44">
        <f>SUMIFS(Transaction_Log!$D$4:$D$237,Transaction_Log!$C$4:$C$237,$B13)</f>
        <v>0</v>
      </c>
      <c r="G13" s="44">
        <f>SUMIFS(Transaction_Log!$E$4:$E$237,Transaction_Log!$C$4:$C$237,$B13)</f>
        <v>0</v>
      </c>
      <c r="H13" s="40"/>
      <c r="I13" s="44">
        <f t="shared" si="0"/>
        <v>0</v>
      </c>
      <c r="J13" s="44">
        <f t="shared" si="1"/>
        <v>0</v>
      </c>
    </row>
    <row r="14" spans="1:10" ht="14.25" customHeight="1" x14ac:dyDescent="0.3">
      <c r="B14" s="43" t="str">
        <f>Overview!A18</f>
        <v>Notes Payable</v>
      </c>
      <c r="C14" s="44">
        <f>IFERROR(INDEX(Overview!$F$9:$F$18,MATCH($B14,Overview!$E$9:$E$18,0)),0)</f>
        <v>0</v>
      </c>
      <c r="D14" s="44">
        <f>IFERROR(INDEX(Overview!$G$9:$G$18,MATCH($B14,Overview!$E$9:$E$18,0)),0)</f>
        <v>6000</v>
      </c>
      <c r="E14" s="40"/>
      <c r="F14" s="44">
        <f>SUMIFS(Transaction_Log!$D$4:$D$237,Transaction_Log!$C$4:$C$237,$B14)</f>
        <v>1100</v>
      </c>
      <c r="G14" s="44">
        <f>SUMIFS(Transaction_Log!$E$4:$E$237,Transaction_Log!$C$4:$C$237,$B14)</f>
        <v>0</v>
      </c>
      <c r="H14" s="40"/>
      <c r="I14" s="44">
        <f t="shared" si="0"/>
        <v>0</v>
      </c>
      <c r="J14" s="44">
        <f t="shared" si="1"/>
        <v>4900</v>
      </c>
    </row>
    <row r="15" spans="1:10" ht="14.25" customHeight="1" x14ac:dyDescent="0.3">
      <c r="B15" s="43" t="str">
        <f>Overview!A19</f>
        <v>Owner's Capital</v>
      </c>
      <c r="C15" s="44">
        <f>IFERROR(INDEX(Overview!$F$9:$F$18,MATCH($B15,Overview!$E$9:$E$18,0)),0)</f>
        <v>0</v>
      </c>
      <c r="D15" s="44">
        <f>IFERROR(INDEX(Overview!$G$9:$G$18,MATCH($B15,Overview!$E$9:$E$18,0)),0)</f>
        <v>27050</v>
      </c>
      <c r="E15" s="40"/>
      <c r="F15" s="44">
        <f>SUMIFS(Transaction_Log!$D$4:$D$237,Transaction_Log!$C$4:$C$237,$B15)</f>
        <v>0</v>
      </c>
      <c r="G15" s="44">
        <f>SUMIFS(Transaction_Log!$E$4:$E$237,Transaction_Log!$C$4:$C$237,$B15)</f>
        <v>0</v>
      </c>
      <c r="H15" s="40"/>
      <c r="I15" s="44">
        <f t="shared" si="0"/>
        <v>0</v>
      </c>
      <c r="J15" s="44">
        <f t="shared" si="1"/>
        <v>27050</v>
      </c>
    </row>
    <row r="16" spans="1:10" ht="14.25" customHeight="1" x14ac:dyDescent="0.3">
      <c r="B16" s="43" t="str">
        <f>Overview!A20</f>
        <v>Owner's Drawing</v>
      </c>
      <c r="C16" s="44">
        <f>IFERROR(INDEX(Overview!$F$9:$F$18,MATCH($B16,Overview!$E$9:$E$18,0)),0)</f>
        <v>0</v>
      </c>
      <c r="D16" s="44">
        <f>IFERROR(INDEX(Overview!$G$9:$G$18,MATCH($B16,Overview!$E$9:$E$18,0)),0)</f>
        <v>0</v>
      </c>
      <c r="E16" s="40"/>
      <c r="F16" s="44">
        <f>SUMIFS(Transaction_Log!$D$4:$D$237,Transaction_Log!$C$4:$C$237,$B16)</f>
        <v>1000</v>
      </c>
      <c r="G16" s="44">
        <f>SUMIFS(Transaction_Log!$E$4:$E$237,Transaction_Log!$C$4:$C$237,$B16)</f>
        <v>0</v>
      </c>
      <c r="H16" s="40"/>
      <c r="I16" s="44">
        <f t="shared" si="0"/>
        <v>1000</v>
      </c>
      <c r="J16" s="44">
        <f t="shared" si="1"/>
        <v>0</v>
      </c>
    </row>
    <row r="17" spans="2:10" ht="14.25" customHeight="1" x14ac:dyDescent="0.3">
      <c r="B17" s="43" t="str">
        <f>Overview!A21</f>
        <v>Sales Revenue</v>
      </c>
      <c r="C17" s="44">
        <f>IFERROR(INDEX(Overview!$F$9:$F$18,MATCH($B17,Overview!$E$9:$E$18,0)),0)</f>
        <v>0</v>
      </c>
      <c r="D17" s="44">
        <f>IFERROR(INDEX(Overview!$G$9:$G$18,MATCH($B17,Overview!$E$9:$E$18,0)),0)</f>
        <v>0</v>
      </c>
      <c r="E17" s="40"/>
      <c r="F17" s="44">
        <f>SUMIFS(Transaction_Log!$D$4:$D$237,Transaction_Log!$C$4:$C$237,$B17)</f>
        <v>0</v>
      </c>
      <c r="G17" s="44">
        <f>SUMIFS(Transaction_Log!$E$4:$E$237,Transaction_Log!$C$4:$C$237,$B17)</f>
        <v>23442.329999999998</v>
      </c>
      <c r="H17" s="40"/>
      <c r="I17" s="44">
        <f>IF((C17-D17+F17-G17)&gt;=0,(C17-D17+F17-G17),0)</f>
        <v>0</v>
      </c>
      <c r="J17" s="44">
        <f t="shared" si="1"/>
        <v>23442.329999999998</v>
      </c>
    </row>
    <row r="18" spans="2:10" ht="14.25" customHeight="1" x14ac:dyDescent="0.3">
      <c r="B18" s="43" t="str">
        <f>Overview!A22</f>
        <v>Rent Expense</v>
      </c>
      <c r="C18" s="44">
        <f>IFERROR(INDEX(Overview!$F$9:$F$18,MATCH($B18,Overview!$E$9:$E$18,0)),0)</f>
        <v>0</v>
      </c>
      <c r="D18" s="44">
        <f>IFERROR(INDEX(Overview!$G$9:$G$18,MATCH($B18,Overview!$E$9:$E$18,0)),0)</f>
        <v>0</v>
      </c>
      <c r="E18" s="40"/>
      <c r="F18" s="44">
        <f>SUMIFS(Transaction_Log!$D$4:$D$237,Transaction_Log!$C$4:$C$237,$B18)</f>
        <v>4400</v>
      </c>
      <c r="G18" s="44">
        <f>SUMIFS(Transaction_Log!$E$4:$E$237,Transaction_Log!$C$4:$C$237,$B18)</f>
        <v>0</v>
      </c>
      <c r="H18" s="40"/>
      <c r="I18" s="44">
        <f t="shared" si="0"/>
        <v>4400</v>
      </c>
      <c r="J18" s="44">
        <f t="shared" si="1"/>
        <v>0</v>
      </c>
    </row>
    <row r="19" spans="2:10" ht="14.25" customHeight="1" x14ac:dyDescent="0.3">
      <c r="B19" s="43" t="str">
        <f>Overview!A23</f>
        <v>Utilities Expense</v>
      </c>
      <c r="C19" s="44">
        <f>IFERROR(INDEX(Overview!$F$9:$F$18,MATCH($B19,Overview!$E$9:$E$18,0)),0)</f>
        <v>0</v>
      </c>
      <c r="D19" s="44">
        <f>IFERROR(INDEX(Overview!$G$9:$G$18,MATCH($B19,Overview!$E$9:$E$18,0)),0)</f>
        <v>0</v>
      </c>
      <c r="E19" s="40"/>
      <c r="F19" s="44">
        <f>SUMIFS(Transaction_Log!$D$4:$D$237,Transaction_Log!$C$4:$C$237,$B19)</f>
        <v>794.45</v>
      </c>
      <c r="G19" s="44">
        <f>SUMIFS(Transaction_Log!$E$4:$E$237,Transaction_Log!$C$4:$C$237,$B19)</f>
        <v>0</v>
      </c>
      <c r="H19" s="40"/>
      <c r="I19" s="44">
        <f t="shared" si="0"/>
        <v>794.45</v>
      </c>
      <c r="J19" s="44">
        <f t="shared" si="1"/>
        <v>0</v>
      </c>
    </row>
    <row r="20" spans="2:10" ht="14.25" customHeight="1" x14ac:dyDescent="0.3">
      <c r="B20" s="43" t="str">
        <f>Overview!A24</f>
        <v>Wages Expense</v>
      </c>
      <c r="C20" s="44">
        <f>IFERROR(INDEX(Overview!$F$9:$F$18,MATCH($B20,Overview!$E$9:$E$18,0)),0)</f>
        <v>0</v>
      </c>
      <c r="D20" s="44">
        <f>IFERROR(INDEX(Overview!$G$9:$G$18,MATCH($B20,Overview!$E$9:$E$18,0)),0)</f>
        <v>0</v>
      </c>
      <c r="E20" s="40"/>
      <c r="F20" s="44">
        <f>SUMIFS(Transaction_Log!$D$4:$D$237,Transaction_Log!$C$4:$C$237,$B20)</f>
        <v>6405</v>
      </c>
      <c r="G20" s="44">
        <f>SUMIFS(Transaction_Log!$E$4:$E$237,Transaction_Log!$C$4:$C$237,$B20)</f>
        <v>0</v>
      </c>
      <c r="H20" s="40"/>
      <c r="I20" s="44">
        <f t="shared" si="0"/>
        <v>6405</v>
      </c>
      <c r="J20" s="44">
        <f t="shared" si="1"/>
        <v>0</v>
      </c>
    </row>
    <row r="21" spans="2:10" ht="14.25" customHeight="1" x14ac:dyDescent="0.3">
      <c r="B21" s="43" t="str">
        <f>Overview!A25</f>
        <v>Supplies Expense</v>
      </c>
      <c r="C21" s="44">
        <f>IFERROR(INDEX(Overview!$F$9:$F$18,MATCH($B21,Overview!$E$9:$E$18,0)),0)</f>
        <v>0</v>
      </c>
      <c r="D21" s="44">
        <f>IFERROR(INDEX(Overview!$G$9:$G$18,MATCH($B21,Overview!$E$9:$E$18,0)),0)</f>
        <v>0</v>
      </c>
      <c r="E21" s="40"/>
      <c r="F21" s="44">
        <f>SUMIFS(Transaction_Log!$D$4:$D$237,Transaction_Log!$C$4:$C$237,$B21)</f>
        <v>0</v>
      </c>
      <c r="G21" s="44">
        <f>SUMIFS(Transaction_Log!$E$4:$E$237,Transaction_Log!$C$4:$C$237,$B21)</f>
        <v>0</v>
      </c>
      <c r="H21" s="40"/>
      <c r="I21" s="44">
        <f t="shared" si="0"/>
        <v>0</v>
      </c>
      <c r="J21" s="44">
        <f t="shared" si="1"/>
        <v>0</v>
      </c>
    </row>
    <row r="22" spans="2:10" ht="14.25" customHeight="1" x14ac:dyDescent="0.3">
      <c r="B22" s="43" t="str">
        <f>Overview!A26</f>
        <v>Insurance Expense</v>
      </c>
      <c r="C22" s="44">
        <f>IFERROR(INDEX(Overview!$F$9:$F$18,MATCH($B22,Overview!$E$9:$E$18,0)),0)</f>
        <v>0</v>
      </c>
      <c r="D22" s="44">
        <f>IFERROR(INDEX(Overview!$G$9:$G$18,MATCH($B22,Overview!$E$9:$E$18,0)),0)</f>
        <v>0</v>
      </c>
      <c r="E22" s="40"/>
      <c r="F22" s="44">
        <f>SUMIFS(Transaction_Log!$D$4:$D$237,Transaction_Log!$C$4:$C$237,$B22)</f>
        <v>0</v>
      </c>
      <c r="G22" s="44">
        <f>SUMIFS(Transaction_Log!$E$4:$E$237,Transaction_Log!$C$4:$C$237,$B22)</f>
        <v>0</v>
      </c>
      <c r="H22" s="40"/>
      <c r="I22" s="44">
        <f t="shared" si="0"/>
        <v>0</v>
      </c>
      <c r="J22" s="44">
        <f t="shared" si="1"/>
        <v>0</v>
      </c>
    </row>
    <row r="23" spans="2:10" ht="14.25" customHeight="1" x14ac:dyDescent="0.3">
      <c r="B23" s="43" t="str">
        <f>Overview!A27</f>
        <v>Depreciation Expense</v>
      </c>
      <c r="C23" s="44">
        <f>IFERROR(INDEX(Overview!$F$9:$F$18,MATCH($B23,Overview!$E$9:$E$18,0)),0)</f>
        <v>0</v>
      </c>
      <c r="D23" s="44">
        <f>IFERROR(INDEX(Overview!$G$9:$G$18,MATCH($B23,Overview!$E$9:$E$18,0)),0)</f>
        <v>0</v>
      </c>
      <c r="E23" s="40"/>
      <c r="F23" s="44">
        <f>SUMIFS(Transaction_Log!$D$4:$D$237,Transaction_Log!$C$4:$C$237,$B23)</f>
        <v>0</v>
      </c>
      <c r="G23" s="44">
        <f>SUMIFS(Transaction_Log!$E$4:$E$237,Transaction_Log!$C$4:$C$237,$B23)</f>
        <v>0</v>
      </c>
      <c r="H23" s="40"/>
      <c r="I23" s="44">
        <f t="shared" si="0"/>
        <v>0</v>
      </c>
      <c r="J23" s="44">
        <f t="shared" si="1"/>
        <v>0</v>
      </c>
    </row>
    <row r="24" spans="2:10" ht="14.25" customHeight="1" x14ac:dyDescent="0.3">
      <c r="B24" s="43" t="str">
        <f>Overview!A28</f>
        <v>Advertising Expense</v>
      </c>
      <c r="C24" s="44">
        <f>IFERROR(INDEX(Overview!$F$9:$F$18,MATCH($B24,Overview!$E$9:$E$18,0)),0)</f>
        <v>0</v>
      </c>
      <c r="D24" s="44">
        <f>IFERROR(INDEX(Overview!$G$9:$G$18,MATCH($B24,Overview!$E$9:$E$18,0)),0)</f>
        <v>0</v>
      </c>
      <c r="E24" s="40"/>
      <c r="F24" s="44">
        <f>SUMIFS(Transaction_Log!$D$4:$D$237,Transaction_Log!$C$4:$C$237,$B24)</f>
        <v>1325</v>
      </c>
      <c r="G24" s="44">
        <f>SUMIFS(Transaction_Log!$E$4:$E$237,Transaction_Log!$C$4:$C$237,$B24)</f>
        <v>0</v>
      </c>
      <c r="H24" s="40"/>
      <c r="I24" s="44">
        <f t="shared" si="0"/>
        <v>1325</v>
      </c>
      <c r="J24" s="44">
        <f t="shared" si="1"/>
        <v>0</v>
      </c>
    </row>
    <row r="25" spans="2:10" ht="14.25" customHeight="1" x14ac:dyDescent="0.3">
      <c r="B25" s="43" t="str">
        <f>Overview!A29</f>
        <v>Repairs &amp; Maintenance Expense</v>
      </c>
      <c r="C25" s="44">
        <f>IFERROR(INDEX(Overview!$F$9:$F$18,MATCH($B25,Overview!$E$9:$E$18,0)),0)</f>
        <v>0</v>
      </c>
      <c r="D25" s="44">
        <f>IFERROR(INDEX(Overview!$G$9:$G$18,MATCH($B25,Overview!$E$9:$E$18,0)),0)</f>
        <v>0</v>
      </c>
      <c r="E25" s="40"/>
      <c r="F25" s="44">
        <f>SUMIFS(Transaction_Log!$D$4:$D$237,Transaction_Log!$C$4:$C$237,$B25)</f>
        <v>450</v>
      </c>
      <c r="G25" s="44">
        <f>SUMIFS(Transaction_Log!$E$4:$E$237,Transaction_Log!$C$4:$C$237,$B25)</f>
        <v>0</v>
      </c>
      <c r="H25" s="40"/>
      <c r="I25" s="44">
        <f t="shared" si="0"/>
        <v>450</v>
      </c>
      <c r="J25" s="44">
        <f t="shared" si="1"/>
        <v>0</v>
      </c>
    </row>
    <row r="26" spans="2:10" ht="14.25" customHeight="1" x14ac:dyDescent="0.3">
      <c r="B26" s="43" t="str">
        <f>Overview!A30</f>
        <v>Interest Expense</v>
      </c>
      <c r="C26" s="44">
        <f>IFERROR(INDEX(Overview!$F$9:$F$18,MATCH($B26,Overview!$E$9:$E$18,0)),0)</f>
        <v>0</v>
      </c>
      <c r="D26" s="44">
        <f>IFERROR(INDEX(Overview!$G$9:$G$18,MATCH($B26,Overview!$E$9:$E$18,0)),0)</f>
        <v>0</v>
      </c>
      <c r="E26" s="40"/>
      <c r="F26" s="44">
        <f>SUMIFS(Transaction_Log!$D$4:$D$237,Transaction_Log!$C$4:$C$237,$B26)</f>
        <v>0</v>
      </c>
      <c r="G26" s="44">
        <f>SUMIFS(Transaction_Log!$E$4:$E$237,Transaction_Log!$C$4:$C$237,$B26)</f>
        <v>0</v>
      </c>
      <c r="H26" s="40"/>
      <c r="I26" s="44">
        <f t="shared" si="0"/>
        <v>0</v>
      </c>
      <c r="J26" s="44">
        <f t="shared" si="1"/>
        <v>0</v>
      </c>
    </row>
    <row r="27" spans="2:10" ht="14.25" customHeight="1" x14ac:dyDescent="0.3">
      <c r="B27" s="45" t="s">
        <v>27</v>
      </c>
      <c r="C27" s="46">
        <f>SUM(C5:C26)</f>
        <v>37800</v>
      </c>
      <c r="D27" s="47">
        <f>SUM(D5:D26)</f>
        <v>37800</v>
      </c>
      <c r="E27" s="40"/>
      <c r="F27" s="46">
        <f>SUM(F5:F26)</f>
        <v>48082.759999999995</v>
      </c>
      <c r="G27" s="47">
        <f>SUM(G5:G26)</f>
        <v>48082.759999999995</v>
      </c>
      <c r="H27" s="40"/>
      <c r="I27" s="46">
        <f>SUM(I5:I26)</f>
        <v>58711.479999999996</v>
      </c>
      <c r="J27" s="47">
        <f>SUM(J5:J26)</f>
        <v>58711.479999999996</v>
      </c>
    </row>
    <row r="28" spans="2:10" ht="14.25" customHeight="1" x14ac:dyDescent="0.3">
      <c r="B28" s="48"/>
      <c r="C28" s="49"/>
      <c r="D28" s="40"/>
      <c r="E28" s="40"/>
      <c r="F28" s="49"/>
      <c r="G28" s="40"/>
      <c r="H28" s="40"/>
      <c r="I28" s="49"/>
      <c r="J28" s="40"/>
    </row>
  </sheetData>
  <sheetProtection algorithmName="SHA-512" hashValue="Wf4lNnNy1YlB1wy7Uf7aXWrlvcKosfIpStw+a+P7t3CvlR28vT2fqgA9VtpBxEpGKq+aROjtD+xePdZa7M/fCg==" saltValue="7FyHY8Axw44QfraaMWqPeg==" spinCount="100000" sheet="1" objects="1" scenarios="1" selectLockedCells="1"/>
  <mergeCells count="2">
    <mergeCell ref="A1:J1"/>
    <mergeCell ref="A2:J2"/>
  </mergeCells>
  <pageMargins left="0.75" right="0.75" top="1" bottom="1" header="0.511811023622047" footer="0.511811023622047"/>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N29"/>
  <sheetViews>
    <sheetView zoomScale="89" zoomScaleNormal="89" workbookViewId="0">
      <selection activeCell="I14" sqref="I14"/>
    </sheetView>
    <sheetView topLeftCell="A2" workbookViewId="1">
      <selection activeCell="E2" sqref="E2"/>
    </sheetView>
  </sheetViews>
  <sheetFormatPr defaultColWidth="8.6640625" defaultRowHeight="14.4" x14ac:dyDescent="0.3"/>
  <cols>
    <col min="1" max="1" width="8" style="13" customWidth="1"/>
    <col min="2" max="2" width="33.5546875" style="13" customWidth="1"/>
    <col min="3" max="4" width="13" style="13" customWidth="1"/>
    <col min="5" max="5" width="3" style="13" customWidth="1"/>
    <col min="6" max="6" width="8" style="13" customWidth="1"/>
    <col min="7" max="7" width="22.77734375" style="13" customWidth="1"/>
    <col min="8" max="9" width="13" style="13" customWidth="1"/>
    <col min="10" max="10" width="3" style="13" customWidth="1"/>
    <col min="11" max="11" width="8" style="13" customWidth="1"/>
    <col min="12" max="12" width="27.77734375" style="13" customWidth="1"/>
    <col min="13" max="14" width="13" style="13" customWidth="1"/>
    <col min="15" max="16384" width="8.6640625" style="13"/>
  </cols>
  <sheetData>
    <row r="1" spans="1:14" ht="19.5" customHeight="1" x14ac:dyDescent="0.4">
      <c r="A1" s="12" t="s">
        <v>354</v>
      </c>
    </row>
    <row r="2" spans="1:14" ht="15" customHeight="1" x14ac:dyDescent="0.3">
      <c r="F2" s="14"/>
    </row>
    <row r="3" spans="1:14" ht="15" customHeight="1" x14ac:dyDescent="0.3">
      <c r="A3" s="15" t="s">
        <v>355</v>
      </c>
      <c r="F3" s="15" t="s">
        <v>356</v>
      </c>
      <c r="K3" s="15" t="s">
        <v>357</v>
      </c>
    </row>
    <row r="4" spans="1:14" ht="15" customHeight="1" x14ac:dyDescent="0.3">
      <c r="A4" s="16" t="s">
        <v>358</v>
      </c>
      <c r="B4" s="16" t="s">
        <v>9</v>
      </c>
      <c r="C4" s="16" t="s">
        <v>10</v>
      </c>
      <c r="D4" s="16" t="s">
        <v>11</v>
      </c>
      <c r="F4" s="16" t="s">
        <v>359</v>
      </c>
      <c r="G4" s="16" t="s">
        <v>9</v>
      </c>
      <c r="H4" s="16" t="s">
        <v>10</v>
      </c>
      <c r="I4" s="16" t="s">
        <v>11</v>
      </c>
      <c r="K4" s="16" t="s">
        <v>358</v>
      </c>
      <c r="L4" s="16" t="s">
        <v>9</v>
      </c>
      <c r="M4" s="16" t="s">
        <v>10</v>
      </c>
      <c r="N4" s="16" t="s">
        <v>11</v>
      </c>
    </row>
    <row r="5" spans="1:14" ht="15" customHeight="1" x14ac:dyDescent="0.3">
      <c r="A5" s="17">
        <v>101</v>
      </c>
      <c r="B5" s="18" t="s">
        <v>12</v>
      </c>
      <c r="C5" s="19">
        <f>IFERROR(INDEX(TAccounts!$I$5:$I$26,MATCH($B5,TAccounts!$B$5:$B$26,0)),0)</f>
        <v>15046.339999999997</v>
      </c>
      <c r="D5" s="20">
        <f>IFERROR(INDEX(TAccounts!$J$5:$J$26,MATCH($B5,TAccounts!$B$5:$B$26,0)),0)</f>
        <v>0</v>
      </c>
      <c r="F5" s="21">
        <v>1</v>
      </c>
      <c r="G5" s="20" t="str">
        <f>$B$22</f>
        <v>Insurance Expense</v>
      </c>
      <c r="H5" s="20">
        <v>200</v>
      </c>
      <c r="I5" s="20"/>
      <c r="K5" s="21">
        <v>101</v>
      </c>
      <c r="L5" s="20" t="s">
        <v>12</v>
      </c>
      <c r="M5" s="20">
        <f t="shared" ref="M5:M26" si="0">IF((C5-D5)+(SUMIF($G$5:$G$26,$L5,$H$5:$H$26)-SUMIF($G$5:$G$26,$L5,$I$5:$I$26))&gt;=0,(C5-D5)+(SUMIF($G$5:$G$26,$L5,$H$5:$H$26)-SUMIF($G$5:$G$26,$L5,$I$5:$I$26)),0)</f>
        <v>15046.339999999997</v>
      </c>
      <c r="N5" s="20">
        <f t="shared" ref="N5:N26" si="1">IF((C5-D5)+(SUMIF($G$5:$G$26,$L5,$H$5:$H$26)-SUMIF($G$5:$G$26,$L5,$I$5:$I$26))&lt;0,-((C5-D5)+(SUMIF($G$5:$G$26,$L5,$H$5:$H$26)-SUMIF($G$5:$G$26,$L5,$I$5:$I$26))),0)</f>
        <v>0</v>
      </c>
    </row>
    <row r="6" spans="1:14" ht="15" customHeight="1" x14ac:dyDescent="0.3">
      <c r="A6" s="17">
        <v>110</v>
      </c>
      <c r="B6" s="18" t="s">
        <v>14</v>
      </c>
      <c r="C6" s="19">
        <f>IFERROR(INDEX(TAccounts!$I$5:$I$26,MATCH($B6,TAccounts!$B$5:$B$26,0)),0)</f>
        <v>11858.640000000001</v>
      </c>
      <c r="D6" s="20">
        <f>IFERROR(INDEX(TAccounts!$J$5:$J$26,MATCH($B6,TAccounts!$B$5:$B$26,0)),0)</f>
        <v>0</v>
      </c>
      <c r="F6" s="21">
        <v>1</v>
      </c>
      <c r="G6" s="20" t="str">
        <f>$B$8</f>
        <v>Prepaid Insurance</v>
      </c>
      <c r="H6" s="20"/>
      <c r="I6" s="20">
        <v>200</v>
      </c>
      <c r="K6" s="21">
        <v>110</v>
      </c>
      <c r="L6" s="20" t="s">
        <v>14</v>
      </c>
      <c r="M6" s="20">
        <f t="shared" si="0"/>
        <v>11858.640000000001</v>
      </c>
      <c r="N6" s="20">
        <f t="shared" si="1"/>
        <v>0</v>
      </c>
    </row>
    <row r="7" spans="1:14" ht="15" customHeight="1" x14ac:dyDescent="0.3">
      <c r="A7" s="17">
        <v>120</v>
      </c>
      <c r="B7" s="18" t="s">
        <v>15</v>
      </c>
      <c r="C7" s="19">
        <f>IFERROR(INDEX(TAccounts!$I$5:$I$26,MATCH($B7,TAccounts!$B$5:$B$26,0)),0)</f>
        <v>3432.05</v>
      </c>
      <c r="D7" s="20">
        <f>IFERROR(INDEX(TAccounts!$J$5:$J$26,MATCH($B7,TAccounts!$B$5:$B$26,0)),0)</f>
        <v>0</v>
      </c>
      <c r="F7" s="21">
        <v>2</v>
      </c>
      <c r="G7" s="20" t="str">
        <f>$B$23</f>
        <v>Depreciation Expense</v>
      </c>
      <c r="H7" s="20">
        <v>200</v>
      </c>
      <c r="I7" s="20"/>
      <c r="K7" s="21">
        <v>120</v>
      </c>
      <c r="L7" s="20" t="s">
        <v>15</v>
      </c>
      <c r="M7" s="20">
        <f t="shared" si="0"/>
        <v>625</v>
      </c>
      <c r="N7" s="20">
        <f t="shared" si="1"/>
        <v>0</v>
      </c>
    </row>
    <row r="8" spans="1:14" ht="15" customHeight="1" x14ac:dyDescent="0.3">
      <c r="A8" s="22">
        <v>130</v>
      </c>
      <c r="B8" s="23" t="s">
        <v>16</v>
      </c>
      <c r="C8" s="20">
        <f>IFERROR(INDEX(TAccounts!$I$5:$I$26,MATCH($B8,TAccounts!$B$5:$B$26,0)),0)</f>
        <v>2000</v>
      </c>
      <c r="D8" s="20">
        <f>IFERROR(INDEX(TAccounts!$J$5:$J$26,MATCH($B8,TAccounts!$B$5:$B$26,0)),0)</f>
        <v>0</v>
      </c>
      <c r="F8" s="21">
        <v>2</v>
      </c>
      <c r="G8" s="20" t="str">
        <f>$B$10</f>
        <v>Accumulated Depreciation—Equipment</v>
      </c>
      <c r="H8" s="20"/>
      <c r="I8" s="20">
        <v>200</v>
      </c>
      <c r="K8" s="21">
        <v>130</v>
      </c>
      <c r="L8" s="20" t="s">
        <v>16</v>
      </c>
      <c r="M8" s="20">
        <f t="shared" si="0"/>
        <v>1800</v>
      </c>
      <c r="N8" s="20">
        <f t="shared" si="1"/>
        <v>0</v>
      </c>
    </row>
    <row r="9" spans="1:14" ht="15" customHeight="1" x14ac:dyDescent="0.3">
      <c r="A9" s="21">
        <v>150</v>
      </c>
      <c r="B9" s="20" t="s">
        <v>17</v>
      </c>
      <c r="C9" s="20">
        <f>IFERROR(INDEX(TAccounts!$I$5:$I$26,MATCH($B9,TAccounts!$B$5:$B$26,0)),0)</f>
        <v>12000</v>
      </c>
      <c r="D9" s="20">
        <f>IFERROR(INDEX(TAccounts!$J$5:$J$26,MATCH($B9,TAccounts!$B$5:$B$26,0)),0)</f>
        <v>0</v>
      </c>
      <c r="F9" s="21">
        <v>3</v>
      </c>
      <c r="G9" s="20" t="str">
        <f>$B$12</f>
        <v>Unearned Revenue</v>
      </c>
      <c r="H9" s="20">
        <v>1200</v>
      </c>
      <c r="I9" s="20"/>
      <c r="K9" s="21">
        <v>150</v>
      </c>
      <c r="L9" s="20" t="s">
        <v>17</v>
      </c>
      <c r="M9" s="20">
        <f>IF((C9-D9)+(SUMIF($G$5:$G$26,$L9,$H$5:$H$26)-SUMIF($G$5:$G$26,$L9,$I$5:$I$26))&gt;=0,(C9-D9)+(SUMIF($G$5:$G$26,$L9,$H$5:$H$26)-SUMIF($G$5:$G$26,$L9,$I$5:$I$26)),0)</f>
        <v>12000</v>
      </c>
      <c r="N9" s="20">
        <f t="shared" si="1"/>
        <v>0</v>
      </c>
    </row>
    <row r="10" spans="1:14" ht="15" customHeight="1" x14ac:dyDescent="0.3">
      <c r="A10" s="21">
        <v>151</v>
      </c>
      <c r="B10" s="20" t="s">
        <v>18</v>
      </c>
      <c r="C10" s="20">
        <f>IFERROR(INDEX(TAccounts!$I$5:$I$26,MATCH($B10,TAccounts!$B$5:$B$26,0)),0)</f>
        <v>0</v>
      </c>
      <c r="D10" s="20">
        <f>IFERROR(INDEX(TAccounts!$J$5:$J$26,MATCH($B10,TAccounts!$B$5:$B$26,0)),0)</f>
        <v>400</v>
      </c>
      <c r="F10" s="21">
        <v>3</v>
      </c>
      <c r="G10" s="20" t="str">
        <f>$B$17</f>
        <v>Sales Revenue</v>
      </c>
      <c r="H10" s="20"/>
      <c r="I10" s="20">
        <v>1200</v>
      </c>
      <c r="K10" s="21">
        <v>151</v>
      </c>
      <c r="L10" s="20" t="s">
        <v>18</v>
      </c>
      <c r="M10" s="20">
        <f t="shared" si="0"/>
        <v>0</v>
      </c>
      <c r="N10" s="20">
        <f t="shared" si="1"/>
        <v>600</v>
      </c>
    </row>
    <row r="11" spans="1:14" ht="15" customHeight="1" x14ac:dyDescent="0.3">
      <c r="A11" s="21">
        <v>201</v>
      </c>
      <c r="B11" s="20" t="s">
        <v>20</v>
      </c>
      <c r="C11" s="20">
        <f>IFERROR(INDEX(TAccounts!$I$5:$I$26,MATCH($B11,TAccounts!$B$5:$B$26,0)),0)</f>
        <v>0</v>
      </c>
      <c r="D11" s="20">
        <f>IFERROR(INDEX(TAccounts!$J$5:$J$26,MATCH($B11,TAccounts!$B$5:$B$26,0)),0)</f>
        <v>1719.15</v>
      </c>
      <c r="F11" s="21">
        <v>4</v>
      </c>
      <c r="G11" s="20" t="str">
        <f>$B$21</f>
        <v>Supplies Expense</v>
      </c>
      <c r="H11" s="20">
        <v>2807.05</v>
      </c>
      <c r="I11" s="20"/>
      <c r="K11" s="21">
        <v>201</v>
      </c>
      <c r="L11" s="20" t="s">
        <v>20</v>
      </c>
      <c r="M11" s="20">
        <f t="shared" si="0"/>
        <v>0</v>
      </c>
      <c r="N11" s="20">
        <f t="shared" si="1"/>
        <v>1719.15</v>
      </c>
    </row>
    <row r="12" spans="1:14" ht="15" customHeight="1" x14ac:dyDescent="0.3">
      <c r="A12" s="21">
        <v>210</v>
      </c>
      <c r="B12" s="20" t="s">
        <v>22</v>
      </c>
      <c r="C12" s="20">
        <f>IFERROR(INDEX(TAccounts!$I$5:$I$26,MATCH($B12,TAccounts!$B$5:$B$26,0)),0)</f>
        <v>0</v>
      </c>
      <c r="D12" s="20">
        <f>IFERROR(INDEX(TAccounts!$J$5:$J$26,MATCH($B12,TAccounts!$B$5:$B$26,0)),0)</f>
        <v>1200</v>
      </c>
      <c r="F12" s="21">
        <v>4</v>
      </c>
      <c r="G12" s="20" t="str">
        <f>$B$7</f>
        <v>Supplies</v>
      </c>
      <c r="H12" s="20"/>
      <c r="I12" s="20">
        <v>2807.05</v>
      </c>
      <c r="K12" s="21">
        <v>210</v>
      </c>
      <c r="L12" s="20" t="s">
        <v>22</v>
      </c>
      <c r="M12" s="20">
        <f t="shared" si="0"/>
        <v>0</v>
      </c>
      <c r="N12" s="20">
        <f t="shared" si="1"/>
        <v>0</v>
      </c>
    </row>
    <row r="13" spans="1:14" ht="15" customHeight="1" x14ac:dyDescent="0.3">
      <c r="A13" s="21">
        <v>220</v>
      </c>
      <c r="B13" s="20" t="s">
        <v>23</v>
      </c>
      <c r="C13" s="20">
        <f>IFERROR(INDEX(TAccounts!$I$5:$I$26,MATCH($B13,TAccounts!$B$5:$B$26,0)),0)</f>
        <v>0</v>
      </c>
      <c r="D13" s="20">
        <f>IFERROR(INDEX(TAccounts!$J$5:$J$26,MATCH($B13,TAccounts!$B$5:$B$26,0)),0)</f>
        <v>0</v>
      </c>
      <c r="F13" s="21">
        <v>5</v>
      </c>
      <c r="G13" s="20" t="str">
        <f>$B$20</f>
        <v>Wages Expense</v>
      </c>
      <c r="H13" s="20">
        <v>1450</v>
      </c>
      <c r="I13" s="20"/>
      <c r="K13" s="21">
        <v>220</v>
      </c>
      <c r="L13" s="20" t="s">
        <v>23</v>
      </c>
      <c r="M13" s="20">
        <f t="shared" si="0"/>
        <v>0</v>
      </c>
      <c r="N13" s="20">
        <f t="shared" si="1"/>
        <v>1450</v>
      </c>
    </row>
    <row r="14" spans="1:14" ht="15" customHeight="1" x14ac:dyDescent="0.3">
      <c r="A14" s="21">
        <v>250</v>
      </c>
      <c r="B14" s="20" t="s">
        <v>24</v>
      </c>
      <c r="C14" s="20">
        <f>IFERROR(INDEX(TAccounts!$I$5:$I$26,MATCH($B14,TAccounts!$B$5:$B$26,0)),0)</f>
        <v>0</v>
      </c>
      <c r="D14" s="20">
        <f>IFERROR(INDEX(TAccounts!$J$5:$J$26,MATCH($B14,TAccounts!$B$5:$B$26,0)),0)</f>
        <v>4900</v>
      </c>
      <c r="F14" s="21">
        <v>5</v>
      </c>
      <c r="G14" s="20" t="str">
        <f>$B$13</f>
        <v>Wages Payable</v>
      </c>
      <c r="H14" s="20"/>
      <c r="I14" s="20">
        <v>1450</v>
      </c>
      <c r="K14" s="21">
        <v>250</v>
      </c>
      <c r="L14" s="20" t="s">
        <v>24</v>
      </c>
      <c r="M14" s="20">
        <f t="shared" si="0"/>
        <v>0</v>
      </c>
      <c r="N14" s="20">
        <f t="shared" si="1"/>
        <v>4900</v>
      </c>
    </row>
    <row r="15" spans="1:14" ht="15" customHeight="1" x14ac:dyDescent="0.3">
      <c r="A15" s="21">
        <v>301</v>
      </c>
      <c r="B15" s="20" t="s">
        <v>25</v>
      </c>
      <c r="C15" s="20">
        <f>IFERROR(INDEX(TAccounts!$I$5:$I$26,MATCH($B15,TAccounts!$B$5:$B$26,0)),0)</f>
        <v>0</v>
      </c>
      <c r="D15" s="20">
        <f>IFERROR(INDEX(TAccounts!$J$5:$J$26,MATCH($B15,TAccounts!$B$5:$B$26,0)),0)</f>
        <v>27050</v>
      </c>
      <c r="F15" s="21"/>
      <c r="G15" s="20"/>
      <c r="H15" s="20"/>
      <c r="I15" s="20"/>
      <c r="K15" s="21">
        <v>301</v>
      </c>
      <c r="L15" s="20" t="s">
        <v>25</v>
      </c>
      <c r="M15" s="20">
        <f t="shared" si="0"/>
        <v>0</v>
      </c>
      <c r="N15" s="20">
        <f t="shared" si="1"/>
        <v>27050</v>
      </c>
    </row>
    <row r="16" spans="1:14" ht="15" customHeight="1" x14ac:dyDescent="0.3">
      <c r="A16" s="21">
        <v>302</v>
      </c>
      <c r="B16" s="20" t="s">
        <v>28</v>
      </c>
      <c r="C16" s="20">
        <f>IFERROR(INDEX(TAccounts!$I$5:$I$26,MATCH($B16,TAccounts!$B$5:$B$26,0)),0)</f>
        <v>1000</v>
      </c>
      <c r="D16" s="20">
        <f>IFERROR(INDEX(TAccounts!$J$5:$J$26,MATCH($B16,TAccounts!$B$5:$B$26,0)),0)</f>
        <v>0</v>
      </c>
      <c r="F16" s="21"/>
      <c r="G16" s="20"/>
      <c r="H16" s="20"/>
      <c r="I16" s="20"/>
      <c r="K16" s="21">
        <v>302</v>
      </c>
      <c r="L16" s="20" t="s">
        <v>28</v>
      </c>
      <c r="M16" s="20">
        <f t="shared" si="0"/>
        <v>1000</v>
      </c>
      <c r="N16" s="20">
        <f t="shared" si="1"/>
        <v>0</v>
      </c>
    </row>
    <row r="17" spans="1:14" ht="15" customHeight="1" x14ac:dyDescent="0.3">
      <c r="A17" s="21">
        <v>401</v>
      </c>
      <c r="B17" s="20" t="s">
        <v>29</v>
      </c>
      <c r="C17" s="20">
        <f>IFERROR(INDEX(TAccounts!$I$5:$I$26,MATCH($B17,TAccounts!$B$5:$B$26,0)),0)</f>
        <v>0</v>
      </c>
      <c r="D17" s="20">
        <f>IFERROR(INDEX(TAccounts!$J$5:$J$26,MATCH($B17,TAccounts!$B$5:$B$26,0)),0)</f>
        <v>23442.329999999998</v>
      </c>
      <c r="F17" s="21"/>
      <c r="G17" s="20"/>
      <c r="H17" s="20"/>
      <c r="I17" s="20"/>
      <c r="K17" s="21">
        <v>401</v>
      </c>
      <c r="L17" s="20" t="s">
        <v>29</v>
      </c>
      <c r="M17" s="20">
        <f t="shared" si="0"/>
        <v>0</v>
      </c>
      <c r="N17" s="20">
        <f t="shared" si="1"/>
        <v>24642.329999999998</v>
      </c>
    </row>
    <row r="18" spans="1:14" ht="15" customHeight="1" x14ac:dyDescent="0.3">
      <c r="A18" s="21">
        <v>501</v>
      </c>
      <c r="B18" s="20" t="s">
        <v>31</v>
      </c>
      <c r="C18" s="20">
        <f>IFERROR(INDEX(TAccounts!$I$5:$I$26,MATCH($B18,TAccounts!$B$5:$B$26,0)),0)</f>
        <v>4400</v>
      </c>
      <c r="D18" s="20">
        <f>IFERROR(INDEX(TAccounts!$J$5:$J$26,MATCH($B18,TAccounts!$B$5:$B$26,0)),0)</f>
        <v>0</v>
      </c>
      <c r="F18" s="21"/>
      <c r="G18" s="20"/>
      <c r="H18" s="20"/>
      <c r="I18" s="20"/>
      <c r="K18" s="21">
        <v>501</v>
      </c>
      <c r="L18" s="20" t="s">
        <v>31</v>
      </c>
      <c r="M18" s="20">
        <f t="shared" si="0"/>
        <v>4400</v>
      </c>
      <c r="N18" s="20">
        <f t="shared" si="1"/>
        <v>0</v>
      </c>
    </row>
    <row r="19" spans="1:14" ht="15" customHeight="1" x14ac:dyDescent="0.3">
      <c r="A19" s="21">
        <v>502</v>
      </c>
      <c r="B19" s="20" t="s">
        <v>33</v>
      </c>
      <c r="C19" s="20">
        <f>IFERROR(INDEX(TAccounts!$I$5:$I$26,MATCH($B19,TAccounts!$B$5:$B$26,0)),0)</f>
        <v>794.45</v>
      </c>
      <c r="D19" s="20">
        <f>IFERROR(INDEX(TAccounts!$J$5:$J$26,MATCH($B19,TAccounts!$B$5:$B$26,0)),0)</f>
        <v>0</v>
      </c>
      <c r="F19" s="21"/>
      <c r="G19" s="20"/>
      <c r="H19" s="20"/>
      <c r="I19" s="20"/>
      <c r="K19" s="21">
        <v>502</v>
      </c>
      <c r="L19" s="20" t="s">
        <v>33</v>
      </c>
      <c r="M19" s="20">
        <f t="shared" si="0"/>
        <v>794.45</v>
      </c>
      <c r="N19" s="20">
        <f t="shared" si="1"/>
        <v>0</v>
      </c>
    </row>
    <row r="20" spans="1:14" ht="15" customHeight="1" x14ac:dyDescent="0.3">
      <c r="A20" s="21">
        <v>503</v>
      </c>
      <c r="B20" s="20" t="s">
        <v>34</v>
      </c>
      <c r="C20" s="20">
        <f>IFERROR(INDEX(TAccounts!$I$5:$I$26,MATCH($B20,TAccounts!$B$5:$B$26,0)),0)</f>
        <v>6405</v>
      </c>
      <c r="D20" s="20">
        <f>IFERROR(INDEX(TAccounts!$J$5:$J$26,MATCH($B20,TAccounts!$B$5:$B$26,0)),0)</f>
        <v>0</v>
      </c>
      <c r="F20" s="21"/>
      <c r="G20" s="20"/>
      <c r="H20" s="20"/>
      <c r="I20" s="20"/>
      <c r="K20" s="21">
        <v>503</v>
      </c>
      <c r="L20" s="20" t="s">
        <v>34</v>
      </c>
      <c r="M20" s="20">
        <f t="shared" si="0"/>
        <v>7855</v>
      </c>
      <c r="N20" s="20">
        <f t="shared" si="1"/>
        <v>0</v>
      </c>
    </row>
    <row r="21" spans="1:14" ht="15" customHeight="1" x14ac:dyDescent="0.3">
      <c r="A21" s="21">
        <v>504</v>
      </c>
      <c r="B21" s="20" t="s">
        <v>35</v>
      </c>
      <c r="C21" s="20">
        <f>IFERROR(INDEX(TAccounts!$I$5:$I$26,MATCH($B21,TAccounts!$B$5:$B$26,0)),0)</f>
        <v>0</v>
      </c>
      <c r="D21" s="20">
        <f>IFERROR(INDEX(TAccounts!$J$5:$J$26,MATCH($B21,TAccounts!$B$5:$B$26,0)),0)</f>
        <v>0</v>
      </c>
      <c r="F21" s="21"/>
      <c r="G21" s="20"/>
      <c r="H21" s="20"/>
      <c r="I21" s="20"/>
      <c r="K21" s="21">
        <v>504</v>
      </c>
      <c r="L21" s="20" t="s">
        <v>35</v>
      </c>
      <c r="M21" s="20">
        <f t="shared" si="0"/>
        <v>2807.05</v>
      </c>
      <c r="N21" s="20">
        <f t="shared" si="1"/>
        <v>0</v>
      </c>
    </row>
    <row r="22" spans="1:14" ht="15" customHeight="1" x14ac:dyDescent="0.3">
      <c r="A22" s="21">
        <v>505</v>
      </c>
      <c r="B22" s="20" t="s">
        <v>36</v>
      </c>
      <c r="C22" s="20">
        <f>IFERROR(INDEX(TAccounts!$I$5:$I$26,MATCH($B22,TAccounts!$B$5:$B$26,0)),0)</f>
        <v>0</v>
      </c>
      <c r="D22" s="20">
        <f>IFERROR(INDEX(TAccounts!$J$5:$J$26,MATCH($B22,TAccounts!$B$5:$B$26,0)),0)</f>
        <v>0</v>
      </c>
      <c r="F22" s="21"/>
      <c r="G22" s="20"/>
      <c r="H22" s="20"/>
      <c r="I22" s="20"/>
      <c r="K22" s="21">
        <v>505</v>
      </c>
      <c r="L22" s="20" t="s">
        <v>36</v>
      </c>
      <c r="M22" s="20">
        <f t="shared" si="0"/>
        <v>200</v>
      </c>
      <c r="N22" s="20">
        <f t="shared" si="1"/>
        <v>0</v>
      </c>
    </row>
    <row r="23" spans="1:14" ht="15" customHeight="1" x14ac:dyDescent="0.3">
      <c r="A23" s="21">
        <v>506</v>
      </c>
      <c r="B23" s="20" t="s">
        <v>37</v>
      </c>
      <c r="C23" s="20">
        <f>IFERROR(INDEX(TAccounts!$I$5:$I$26,MATCH($B23,TAccounts!$B$5:$B$26,0)),0)</f>
        <v>0</v>
      </c>
      <c r="D23" s="20">
        <f>IFERROR(INDEX(TAccounts!$J$5:$J$26,MATCH($B23,TAccounts!$B$5:$B$26,0)),0)</f>
        <v>0</v>
      </c>
      <c r="F23" s="21"/>
      <c r="G23" s="20"/>
      <c r="H23" s="20"/>
      <c r="I23" s="20"/>
      <c r="K23" s="21">
        <v>506</v>
      </c>
      <c r="L23" s="20" t="s">
        <v>37</v>
      </c>
      <c r="M23" s="20">
        <f t="shared" si="0"/>
        <v>200</v>
      </c>
      <c r="N23" s="20">
        <f t="shared" si="1"/>
        <v>0</v>
      </c>
    </row>
    <row r="24" spans="1:14" ht="15" customHeight="1" x14ac:dyDescent="0.3">
      <c r="A24" s="21">
        <v>507</v>
      </c>
      <c r="B24" s="20" t="s">
        <v>38</v>
      </c>
      <c r="C24" s="20">
        <f>IFERROR(INDEX(TAccounts!$I$5:$I$26,MATCH($B24,TAccounts!$B$5:$B$26,0)),0)</f>
        <v>1325</v>
      </c>
      <c r="D24" s="20">
        <f>IFERROR(INDEX(TAccounts!$J$5:$J$26,MATCH($B24,TAccounts!$B$5:$B$26,0)),0)</f>
        <v>0</v>
      </c>
      <c r="F24" s="21"/>
      <c r="G24" s="20"/>
      <c r="H24" s="20"/>
      <c r="I24" s="20"/>
      <c r="K24" s="21">
        <v>507</v>
      </c>
      <c r="L24" s="20" t="s">
        <v>38</v>
      </c>
      <c r="M24" s="20">
        <f t="shared" si="0"/>
        <v>1325</v>
      </c>
      <c r="N24" s="20">
        <f t="shared" si="1"/>
        <v>0</v>
      </c>
    </row>
    <row r="25" spans="1:14" ht="15" customHeight="1" x14ac:dyDescent="0.3">
      <c r="A25" s="21">
        <v>508</v>
      </c>
      <c r="B25" s="20" t="s">
        <v>39</v>
      </c>
      <c r="C25" s="20">
        <f>IFERROR(INDEX(TAccounts!$I$5:$I$26,MATCH($B25,TAccounts!$B$5:$B$26,0)),0)</f>
        <v>450</v>
      </c>
      <c r="D25" s="20">
        <f>IFERROR(INDEX(TAccounts!$J$5:$J$26,MATCH($B25,TAccounts!$B$5:$B$26,0)),0)</f>
        <v>0</v>
      </c>
      <c r="F25" s="21"/>
      <c r="G25" s="20"/>
      <c r="H25" s="20"/>
      <c r="I25" s="20"/>
      <c r="K25" s="21">
        <v>508</v>
      </c>
      <c r="L25" s="20" t="s">
        <v>39</v>
      </c>
      <c r="M25" s="20">
        <f t="shared" si="0"/>
        <v>450</v>
      </c>
      <c r="N25" s="20">
        <f t="shared" si="1"/>
        <v>0</v>
      </c>
    </row>
    <row r="26" spans="1:14" ht="15" customHeight="1" x14ac:dyDescent="0.3">
      <c r="A26" s="24">
        <v>509</v>
      </c>
      <c r="B26" s="25" t="s">
        <v>40</v>
      </c>
      <c r="C26" s="25">
        <f>IFERROR(INDEX(TAccounts!$I$5:$I$26,MATCH($B26,TAccounts!$B$5:$B$26,0)),0)</f>
        <v>0</v>
      </c>
      <c r="D26" s="25">
        <f>IFERROR(INDEX(TAccounts!$J$5:$J$26,MATCH($B26,TAccounts!$B$5:$B$26,0)),0)</f>
        <v>0</v>
      </c>
      <c r="F26" s="24"/>
      <c r="G26" s="25"/>
      <c r="H26" s="25"/>
      <c r="I26" s="25"/>
      <c r="K26" s="24">
        <v>509</v>
      </c>
      <c r="L26" s="25" t="s">
        <v>40</v>
      </c>
      <c r="M26" s="25">
        <f t="shared" si="0"/>
        <v>0</v>
      </c>
      <c r="N26" s="25">
        <f t="shared" si="1"/>
        <v>0</v>
      </c>
    </row>
    <row r="27" spans="1:14" ht="15" customHeight="1" x14ac:dyDescent="0.3">
      <c r="A27" s="26"/>
      <c r="B27" s="26" t="s">
        <v>27</v>
      </c>
      <c r="C27" s="27">
        <f>SUM(C5:C26)</f>
        <v>58711.479999999996</v>
      </c>
      <c r="D27" s="27">
        <f>SUM(D5:D26)</f>
        <v>58711.479999999996</v>
      </c>
      <c r="F27" s="26"/>
      <c r="G27" s="26" t="s">
        <v>27</v>
      </c>
      <c r="H27" s="27">
        <f>SUM(H5:H26)</f>
        <v>5857.05</v>
      </c>
      <c r="I27" s="27">
        <f>SUM(I5:I26)</f>
        <v>5857.05</v>
      </c>
      <c r="K27" s="26"/>
      <c r="L27" s="26" t="s">
        <v>27</v>
      </c>
      <c r="M27" s="27">
        <f>SUM(M5:M26)</f>
        <v>60361.479999999996</v>
      </c>
      <c r="N27" s="27">
        <f>SUM(N5:N26)</f>
        <v>60361.479999999996</v>
      </c>
    </row>
    <row r="29" spans="1:14" ht="15" customHeight="1" x14ac:dyDescent="0.3">
      <c r="A29" s="28"/>
    </row>
  </sheetData>
  <sheetProtection algorithmName="SHA-512" hashValue="8iPNiNSj5jCeaa5hY1eIqd4IdzeQOpE86s2dczNuXyRv7I0eGXhqLnBnKE0+K22ANlJ8/X4/UB082Gw3XEYHQw==" saltValue="GmC9xxWee/TRua7G29c1mw==" spinCount="100000" sheet="1" objects="1" scenarios="1" selectLockedCells="1"/>
  <pageMargins left="0.75" right="0.75" top="1" bottom="1" header="0.511811023622047" footer="0.511811023622047"/>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H27"/>
  <sheetViews>
    <sheetView zoomScaleNormal="100" workbookViewId="0">
      <selection activeCell="H25" sqref="H25"/>
    </sheetView>
    <sheetView workbookViewId="1"/>
  </sheetViews>
  <sheetFormatPr defaultColWidth="8.6640625" defaultRowHeight="14.4" x14ac:dyDescent="0.3"/>
  <cols>
    <col min="1" max="1" width="32" style="13" customWidth="1"/>
    <col min="2" max="2" width="13" style="13" customWidth="1"/>
    <col min="3" max="3" width="3" style="13" customWidth="1"/>
    <col min="4" max="4" width="32" style="13" customWidth="1"/>
    <col min="5" max="5" width="13" style="13" customWidth="1"/>
    <col min="6" max="6" width="3" style="13" customWidth="1"/>
    <col min="7" max="7" width="43.77734375" style="13" customWidth="1"/>
    <col min="8" max="8" width="13" style="13" customWidth="1"/>
    <col min="9" max="16384" width="8.6640625" style="13"/>
  </cols>
  <sheetData>
    <row r="1" spans="1:8" ht="19.5" customHeight="1" x14ac:dyDescent="0.4">
      <c r="A1" s="12" t="s">
        <v>360</v>
      </c>
    </row>
    <row r="3" spans="1:8" ht="15" customHeight="1" x14ac:dyDescent="0.3">
      <c r="A3" s="16" t="s">
        <v>361</v>
      </c>
      <c r="B3" s="16"/>
      <c r="D3" s="16" t="s">
        <v>362</v>
      </c>
      <c r="E3" s="16"/>
      <c r="G3" s="16" t="s">
        <v>363</v>
      </c>
      <c r="H3" s="16"/>
    </row>
    <row r="4" spans="1:8" ht="15" customHeight="1" x14ac:dyDescent="0.3">
      <c r="A4" s="17" t="s">
        <v>29</v>
      </c>
      <c r="B4" s="29">
        <f>Trial_Balance!N17</f>
        <v>24642.329999999998</v>
      </c>
      <c r="D4" s="30" t="s">
        <v>364</v>
      </c>
      <c r="E4" s="31"/>
      <c r="G4" s="30" t="s">
        <v>365</v>
      </c>
      <c r="H4" s="31"/>
    </row>
    <row r="5" spans="1:8" ht="15" customHeight="1" x14ac:dyDescent="0.3">
      <c r="A5" s="17" t="s">
        <v>366</v>
      </c>
      <c r="B5" s="32"/>
      <c r="D5" s="17" t="s">
        <v>367</v>
      </c>
      <c r="E5" s="29">
        <f>Trial_Balance!M5</f>
        <v>15046.339999999997</v>
      </c>
      <c r="G5" s="17" t="s">
        <v>368</v>
      </c>
      <c r="H5" s="29">
        <f>B15</f>
        <v>6610.8299999999981</v>
      </c>
    </row>
    <row r="6" spans="1:8" ht="15" customHeight="1" x14ac:dyDescent="0.3">
      <c r="A6" s="17" t="s">
        <v>369</v>
      </c>
      <c r="B6" s="29">
        <f>Trial_Balance!M18</f>
        <v>4400</v>
      </c>
      <c r="D6" s="17" t="s">
        <v>370</v>
      </c>
      <c r="E6" s="29">
        <f>Trial_Balance!M6</f>
        <v>11858.640000000001</v>
      </c>
      <c r="G6" s="17" t="s">
        <v>371</v>
      </c>
      <c r="H6" s="29">
        <f>Trial_Balance!M23</f>
        <v>200</v>
      </c>
    </row>
    <row r="7" spans="1:8" ht="15" customHeight="1" x14ac:dyDescent="0.3">
      <c r="A7" s="17" t="s">
        <v>372</v>
      </c>
      <c r="B7" s="29">
        <f>Trial_Balance!M19</f>
        <v>794.45</v>
      </c>
      <c r="D7" s="17" t="s">
        <v>373</v>
      </c>
      <c r="E7" s="29">
        <f>Trial_Balance!M7</f>
        <v>625</v>
      </c>
      <c r="G7" s="17" t="s">
        <v>374</v>
      </c>
      <c r="H7" s="32"/>
    </row>
    <row r="8" spans="1:8" ht="15" customHeight="1" x14ac:dyDescent="0.3">
      <c r="A8" s="17" t="s">
        <v>375</v>
      </c>
      <c r="B8" s="29">
        <f>Trial_Balance!M20</f>
        <v>7855</v>
      </c>
      <c r="D8" s="17" t="s">
        <v>376</v>
      </c>
      <c r="E8" s="29">
        <f>Trial_Balance!M8</f>
        <v>1800</v>
      </c>
      <c r="G8" s="17" t="s">
        <v>377</v>
      </c>
      <c r="H8" s="29">
        <f>-(Trial_Balance!M6-Overview!F10)</f>
        <v>-7658.6400000000012</v>
      </c>
    </row>
    <row r="9" spans="1:8" ht="15" customHeight="1" x14ac:dyDescent="0.3">
      <c r="A9" s="17" t="s">
        <v>378</v>
      </c>
      <c r="B9" s="29">
        <f>Trial_Balance!M21</f>
        <v>2807.05</v>
      </c>
      <c r="D9" s="17" t="s">
        <v>379</v>
      </c>
      <c r="E9" s="29">
        <f>Trial_Balance!M9</f>
        <v>12000</v>
      </c>
      <c r="G9" s="17" t="s">
        <v>380</v>
      </c>
      <c r="H9" s="29">
        <f>Overview!F11-Trial_Balance!M7</f>
        <v>475</v>
      </c>
    </row>
    <row r="10" spans="1:8" ht="15" customHeight="1" x14ac:dyDescent="0.3">
      <c r="A10" s="17" t="s">
        <v>381</v>
      </c>
      <c r="B10" s="29">
        <f>Trial_Balance!M22</f>
        <v>200</v>
      </c>
      <c r="D10" s="17" t="s">
        <v>382</v>
      </c>
      <c r="E10" s="29">
        <f>-Trial_Balance!N10</f>
        <v>-600</v>
      </c>
      <c r="G10" s="17" t="s">
        <v>383</v>
      </c>
      <c r="H10" s="29">
        <f>Overview!F12-Trial_Balance!M8</f>
        <v>200</v>
      </c>
    </row>
    <row r="11" spans="1:8" ht="15" customHeight="1" x14ac:dyDescent="0.3">
      <c r="A11" s="17" t="s">
        <v>384</v>
      </c>
      <c r="B11" s="29">
        <f>Trial_Balance!M23</f>
        <v>200</v>
      </c>
      <c r="D11" s="16" t="s">
        <v>385</v>
      </c>
      <c r="E11" s="33">
        <f>SUM(E5:E10)</f>
        <v>40729.979999999996</v>
      </c>
      <c r="G11" s="17" t="s">
        <v>386</v>
      </c>
      <c r="H11" s="29">
        <f>Trial_Balance!N11-Overview!G15</f>
        <v>-1430.85</v>
      </c>
    </row>
    <row r="12" spans="1:8" ht="15" customHeight="1" x14ac:dyDescent="0.3">
      <c r="A12" s="17" t="s">
        <v>387</v>
      </c>
      <c r="B12" s="29">
        <f>Trial_Balance!M24</f>
        <v>1325</v>
      </c>
      <c r="G12" s="17" t="s">
        <v>388</v>
      </c>
      <c r="H12" s="29">
        <f>Trial_Balance!N12-Overview!G16</f>
        <v>-1200</v>
      </c>
    </row>
    <row r="13" spans="1:8" ht="15" customHeight="1" x14ac:dyDescent="0.3">
      <c r="A13" s="17" t="s">
        <v>389</v>
      </c>
      <c r="B13" s="29">
        <f>Trial_Balance!M25</f>
        <v>450</v>
      </c>
      <c r="D13" s="30" t="s">
        <v>390</v>
      </c>
      <c r="E13" s="31"/>
      <c r="G13" s="17" t="s">
        <v>391</v>
      </c>
      <c r="H13" s="29">
        <f>Trial_Balance!N13</f>
        <v>1450</v>
      </c>
    </row>
    <row r="14" spans="1:8" ht="15" customHeight="1" x14ac:dyDescent="0.3">
      <c r="A14" s="17" t="s">
        <v>392</v>
      </c>
      <c r="B14" s="29">
        <f>Trial_Balance!M26</f>
        <v>0</v>
      </c>
      <c r="D14" s="17" t="s">
        <v>393</v>
      </c>
      <c r="E14" s="29">
        <f>Trial_Balance!N11</f>
        <v>1719.15</v>
      </c>
      <c r="G14" s="16" t="s">
        <v>394</v>
      </c>
      <c r="H14" s="34">
        <f>SUM(H5:H13)</f>
        <v>-1353.660000000003</v>
      </c>
    </row>
    <row r="15" spans="1:8" ht="15" customHeight="1" x14ac:dyDescent="0.3">
      <c r="A15" s="35" t="s">
        <v>395</v>
      </c>
      <c r="B15" s="36">
        <f>B4-SUM(B6:B14)</f>
        <v>6610.8299999999981</v>
      </c>
      <c r="D15" s="17" t="s">
        <v>396</v>
      </c>
      <c r="E15" s="29">
        <f>Trial_Balance!N12</f>
        <v>0</v>
      </c>
    </row>
    <row r="16" spans="1:8" ht="15" customHeight="1" x14ac:dyDescent="0.3">
      <c r="D16" s="17" t="s">
        <v>397</v>
      </c>
      <c r="E16" s="29">
        <f>Trial_Balance!N13</f>
        <v>1450</v>
      </c>
      <c r="G16" s="30" t="s">
        <v>398</v>
      </c>
      <c r="H16" s="31"/>
    </row>
    <row r="17" spans="4:8" ht="15" customHeight="1" x14ac:dyDescent="0.3">
      <c r="D17" s="17" t="s">
        <v>399</v>
      </c>
      <c r="E17" s="29">
        <f>Trial_Balance!N14</f>
        <v>4900</v>
      </c>
      <c r="G17" s="17" t="s">
        <v>400</v>
      </c>
      <c r="H17" s="29">
        <f>-(Trial_Balance!M9-Overview!F13)</f>
        <v>0</v>
      </c>
    </row>
    <row r="18" spans="4:8" ht="15" customHeight="1" x14ac:dyDescent="0.3">
      <c r="D18" s="16" t="s">
        <v>401</v>
      </c>
      <c r="E18" s="34">
        <f>SUM(E14:E17)</f>
        <v>8069.15</v>
      </c>
      <c r="G18" s="16" t="s">
        <v>402</v>
      </c>
      <c r="H18" s="37">
        <f>SUM(H17:H17)</f>
        <v>0</v>
      </c>
    </row>
    <row r="20" spans="4:8" ht="15" customHeight="1" x14ac:dyDescent="0.3">
      <c r="D20" s="30" t="s">
        <v>403</v>
      </c>
      <c r="E20" s="31"/>
      <c r="G20" s="30" t="s">
        <v>404</v>
      </c>
      <c r="H20" s="31"/>
    </row>
    <row r="21" spans="4:8" ht="15" customHeight="1" x14ac:dyDescent="0.3">
      <c r="D21" s="17" t="s">
        <v>405</v>
      </c>
      <c r="E21" s="29">
        <f>Overview!G18+B15-Trial_Balance!M16</f>
        <v>32660.83</v>
      </c>
      <c r="G21" s="17" t="s">
        <v>406</v>
      </c>
      <c r="H21" s="29">
        <f>-(Overview!G17-Trial_Balance!N14)</f>
        <v>-1100</v>
      </c>
    </row>
    <row r="22" spans="4:8" ht="15" customHeight="1" x14ac:dyDescent="0.3">
      <c r="D22" s="31"/>
      <c r="E22" s="31"/>
      <c r="G22" s="17" t="s">
        <v>407</v>
      </c>
      <c r="H22" s="29">
        <f>-Trial_Balance!M16</f>
        <v>-1000</v>
      </c>
    </row>
    <row r="23" spans="4:8" ht="15" customHeight="1" x14ac:dyDescent="0.3">
      <c r="D23" s="16" t="s">
        <v>408</v>
      </c>
      <c r="E23" s="38">
        <f>E18+E21</f>
        <v>40729.980000000003</v>
      </c>
      <c r="G23" s="16" t="s">
        <v>409</v>
      </c>
      <c r="H23" s="34">
        <f>SUM(H21:H22)</f>
        <v>-2100</v>
      </c>
    </row>
    <row r="25" spans="4:8" ht="15" customHeight="1" x14ac:dyDescent="0.3">
      <c r="G25" s="16" t="s">
        <v>410</v>
      </c>
      <c r="H25" s="39">
        <f>H14+H18+H23</f>
        <v>-3453.660000000003</v>
      </c>
    </row>
    <row r="26" spans="4:8" ht="15" customHeight="1" x14ac:dyDescent="0.3">
      <c r="G26" s="17" t="s">
        <v>411</v>
      </c>
      <c r="H26" s="29">
        <f>Overview!F9</f>
        <v>18500</v>
      </c>
    </row>
    <row r="27" spans="4:8" ht="15" customHeight="1" x14ac:dyDescent="0.3">
      <c r="G27" s="16" t="s">
        <v>412</v>
      </c>
      <c r="H27" s="38">
        <f>H25+H26</f>
        <v>15046.339999999997</v>
      </c>
    </row>
  </sheetData>
  <sheetProtection algorithmName="SHA-512" hashValue="PDucNOUvqlIfNYVJRHLSSeO2rp1W23DHzisrMYZ4bRSalOPwGsGLOeMX4R3TQAdVG14omjrT72nzW9iwNlutLg==" saltValue="oDuCSkUGnbFiW5V3VOSHfw==" spinCount="100000" sheet="1" objects="1" scenarios="1" selectLockedCells="1"/>
  <pageMargins left="0.75" right="0.75" top="1" bottom="1" header="0.511811023622047" footer="0.511811023622047"/>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76CE5D-8A27-4DD0-BFB0-D02584011E3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ReadMe</vt:lpstr>
      <vt:lpstr>Overview</vt:lpstr>
      <vt:lpstr>Messy_Data</vt:lpstr>
      <vt:lpstr>Sales</vt:lpstr>
      <vt:lpstr>Expenses</vt:lpstr>
      <vt:lpstr>PowerQuery_Cleaned1</vt:lpstr>
      <vt:lpstr>Transaction_Log</vt:lpstr>
      <vt:lpstr>TAccounts</vt:lpstr>
      <vt:lpstr>Trial_Balance</vt:lpstr>
      <vt:lpstr>Financial_Statements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kayden quevedo</cp:lastModifiedBy>
  <cp:revision>0</cp:revision>
  <cp:lastPrinted>2026-09-05T05:07:32Z</cp:lastPrinted>
  <dcterms:created xsi:type="dcterms:W3CDTF">2026-09-03T19:26:17Z</dcterms:created>
  <dcterms:modified xsi:type="dcterms:W3CDTF">2026-09-05T05:08:08Z</dcterms:modified>
  <dc:language>en-US</dc:language>
</cp:coreProperties>
</file>